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9" autoFilterDateGrouping="1"/>
  </bookViews>
  <sheets>
    <sheet name="FORM" sheetId="1" state="visible" r:id="rId1"/>
    <sheet name="GlobHor_DiffHor" sheetId="2" state="visible" r:id="rId2"/>
    <sheet name="PVsyst Graph Data" sheetId="3" state="visible" r:id="rId3"/>
    <sheet name="PAGE 1" sheetId="4" state="visible" r:id="rId4"/>
    <sheet name="PAGE2" sheetId="5" state="visible" r:id="rId5"/>
    <sheet name="PAGE 3" sheetId="6" state="visible" r:id="rId6"/>
    <sheet name="PAGE 4" sheetId="7" state="visible" r:id="rId7"/>
    <sheet name="PAGE 5" sheetId="8" state="visible" r:id="rId8"/>
    <sheet name="PAGE 6" sheetId="9" state="visible" r:id="rId9"/>
    <sheet name="PAGE 7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%"/>
    <numFmt numFmtId="167" formatCode="_-* #,##0.0_-;\-* #,##0.0_-;_-* &quot;-&quot;??_-;_-@_-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11"/>
      <u val="single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FF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3">
    <xf numFmtId="0" fontId="5" fillId="0" borderId="0"/>
    <xf numFmtId="9" fontId="5" fillId="0" borderId="0"/>
    <xf numFmtId="43" fontId="5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2" fontId="0" fillId="0" borderId="0" pivotButton="0" quotePrefix="0" xfId="0"/>
    <xf numFmtId="166" fontId="0" fillId="2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9" fontId="0" fillId="0" borderId="0" pivotButton="0" quotePrefix="0" xfId="1"/>
    <xf numFmtId="0" fontId="0" fillId="0" borderId="0" pivotButton="0" quotePrefix="0" xfId="1"/>
    <xf numFmtId="0" fontId="2" fillId="0" borderId="0" pivotButton="0" quotePrefix="0" xfId="0"/>
    <xf numFmtId="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right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2" fontId="0" fillId="6" borderId="0" applyAlignment="1" pivotButton="0" quotePrefix="0" xfId="0">
      <alignment vertical="center"/>
    </xf>
    <xf numFmtId="2" fontId="0" fillId="0" borderId="0" pivotButton="0" quotePrefix="0" xfId="1"/>
    <xf numFmtId="1" fontId="0" fillId="0" borderId="0" applyAlignment="1" pivotButton="0" quotePrefix="0" xfId="0">
      <alignment horizontal="left"/>
    </xf>
    <xf numFmtId="1" fontId="0" fillId="0" borderId="0" applyAlignment="1" pivotButton="0" quotePrefix="0" xfId="1">
      <alignment horizontal="right"/>
    </xf>
    <xf numFmtId="2" fontId="0" fillId="0" borderId="0" applyAlignment="1" pivotButton="0" quotePrefix="0" xfId="0">
      <alignment horizontal="left"/>
    </xf>
    <xf numFmtId="167" fontId="5" fillId="0" borderId="0" applyAlignment="1" pivotButton="0" quotePrefix="0" xfId="2">
      <alignment horizontal="left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0" pivotButton="0" quotePrefix="0" xfId="0"/>
    <xf numFmtId="0" fontId="9" fillId="0" borderId="0" applyAlignment="1" pivotButton="0" quotePrefix="0" xfId="0">
      <alignment horizontal="left"/>
    </xf>
    <xf numFmtId="1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pivotButton="0" quotePrefix="0" xfId="0"/>
    <xf numFmtId="167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right"/>
    </xf>
    <xf numFmtId="1" fontId="0" fillId="7" borderId="0" applyAlignment="1" pivotButton="0" quotePrefix="0" xfId="0">
      <alignment horizontal="right"/>
    </xf>
    <xf numFmtId="164" fontId="0" fillId="7" borderId="0" applyAlignment="1" pivotButton="0" quotePrefix="0" xfId="0">
      <alignment horizontal="right"/>
    </xf>
    <xf numFmtId="0" fontId="1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3">
    <cellStyle name="Normal" xfId="0" builtinId="0"/>
    <cellStyle name="Percent" xfId="1" builtinId="5"/>
    <cellStyle name="Comma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topLeftCell="A4" zoomScale="85" zoomScaleNormal="85" workbookViewId="0">
      <selection activeCell="B13" sqref="B13"/>
    </sheetView>
  </sheetViews>
  <sheetFormatPr baseColWidth="8" defaultRowHeight="15"/>
  <cols>
    <col width="29.7109375" bestFit="1" customWidth="1" style="71" min="1" max="1"/>
    <col width="16.5703125" bestFit="1" customWidth="1" style="71" min="2" max="2"/>
    <col width="35.140625" bestFit="1" customWidth="1" style="71" min="3" max="3"/>
    <col width="30.85546875" bestFit="1" customWidth="1" style="71" min="4" max="4"/>
    <col width="13.85546875" customWidth="1" style="71" min="5" max="5"/>
    <col width="12.5703125" bestFit="1" customWidth="1" style="71" min="6" max="6"/>
    <col width="13.85546875" bestFit="1" customWidth="1" style="71" min="7" max="7"/>
    <col width="7.5703125" bestFit="1" customWidth="1" style="71" min="8" max="8"/>
  </cols>
  <sheetData>
    <row r="1">
      <c r="A1" s="38" t="inlineStr">
        <is>
          <t>PAGE 1</t>
        </is>
      </c>
    </row>
    <row r="2">
      <c r="A2" s="70" t="inlineStr">
        <is>
          <t xml:space="preserve">client name </t>
        </is>
      </c>
      <c r="C2">
        <f>'PAGE 1'!B1</f>
        <v/>
      </c>
    </row>
    <row r="3">
      <c r="A3" s="70" t="inlineStr">
        <is>
          <t xml:space="preserve">coordinate </t>
        </is>
      </c>
      <c r="C3">
        <f>('PAGE 1'!B2)&amp;('PAGE 1'!C2)</f>
        <v/>
      </c>
    </row>
    <row r="4">
      <c r="A4" s="70" t="inlineStr">
        <is>
          <t xml:space="preserve">short address </t>
        </is>
      </c>
      <c r="C4">
        <f>'PAGE 1'!B3</f>
        <v/>
      </c>
    </row>
    <row r="5">
      <c r="A5" s="34" t="inlineStr">
        <is>
          <t>PAGE 2</t>
        </is>
      </c>
      <c r="B5" s="70" t="n"/>
    </row>
    <row r="6">
      <c r="A6" s="34" t="inlineStr">
        <is>
          <t>Orientation #1</t>
        </is>
      </c>
      <c r="B6" s="70" t="n"/>
      <c r="C6" s="34" t="inlineStr">
        <is>
          <t>Orientation #2</t>
        </is>
      </c>
      <c r="E6" s="34" t="inlineStr">
        <is>
          <t>Orientation #3</t>
        </is>
      </c>
      <c r="G6" s="34" t="inlineStr">
        <is>
          <t>Orientation #4</t>
        </is>
      </c>
    </row>
    <row r="7">
      <c r="A7" s="70" t="inlineStr">
        <is>
          <t>Titl/Azimut</t>
        </is>
      </c>
      <c r="B7" s="70">
        <f>PAGE2!B9</f>
        <v/>
      </c>
      <c r="C7" s="70" t="inlineStr">
        <is>
          <t>Titl/Azimut</t>
        </is>
      </c>
      <c r="D7" s="70">
        <f>PAGE2!D9</f>
        <v/>
      </c>
      <c r="E7" s="70" t="inlineStr">
        <is>
          <t>Titl/Azimut</t>
        </is>
      </c>
      <c r="F7" s="70">
        <f>PAGE2!F9</f>
        <v/>
      </c>
      <c r="G7" s="70" t="inlineStr">
        <is>
          <t>Titl/Azimut</t>
        </is>
      </c>
      <c r="H7" s="70">
        <f>PAGE2!I9</f>
        <v/>
      </c>
    </row>
    <row r="8">
      <c r="A8" s="72" t="inlineStr">
        <is>
          <t xml:space="preserve">Pv Array </t>
        </is>
      </c>
      <c r="C8" s="72" t="inlineStr">
        <is>
          <t xml:space="preserve">Inverters </t>
        </is>
      </c>
      <c r="E8" s="72" t="inlineStr">
        <is>
          <t xml:space="preserve">Battery pack </t>
        </is>
      </c>
    </row>
    <row r="9">
      <c r="A9" t="inlineStr">
        <is>
          <t>no of modules</t>
        </is>
      </c>
      <c r="B9">
        <f>SUM(GlobHor_DiffHor!D3:D6)</f>
        <v/>
      </c>
      <c r="C9" t="inlineStr">
        <is>
          <t xml:space="preserve">Nb. Of units </t>
        </is>
      </c>
      <c r="D9" t="n">
        <v>1</v>
      </c>
      <c r="E9" t="inlineStr">
        <is>
          <t xml:space="preserve">nb. Of units </t>
        </is>
      </c>
      <c r="F9" t="n">
        <v>1</v>
      </c>
    </row>
    <row r="10">
      <c r="A10" t="inlineStr">
        <is>
          <t xml:space="preserve">pnom total </t>
        </is>
      </c>
      <c r="B10">
        <f>GlobHor_DiffHor!H3</f>
        <v/>
      </c>
      <c r="C10" t="inlineStr">
        <is>
          <t xml:space="preserve">total power </t>
        </is>
      </c>
      <c r="D10" s="35">
        <f>5</f>
        <v/>
      </c>
      <c r="E10" t="inlineStr">
        <is>
          <t xml:space="preserve">voltage </t>
        </is>
      </c>
      <c r="F10" s="35">
        <f>51</f>
        <v/>
      </c>
    </row>
    <row r="11">
      <c r="C11" t="inlineStr">
        <is>
          <t xml:space="preserve">pnomr ratio </t>
        </is>
      </c>
      <c r="D11" s="28">
        <f>B10/D10</f>
        <v/>
      </c>
      <c r="E11" t="inlineStr">
        <is>
          <t xml:space="preserve">capacity </t>
        </is>
      </c>
      <c r="F11" s="35">
        <f>F9*314</f>
        <v/>
      </c>
    </row>
    <row r="12">
      <c r="A12" s="72" t="inlineStr">
        <is>
          <t xml:space="preserve">Results summary </t>
        </is>
      </c>
    </row>
    <row r="13">
      <c r="A13" t="inlineStr">
        <is>
          <t xml:space="preserve">Produced energy </t>
        </is>
      </c>
      <c r="B13" s="28">
        <f>GlobHor_DiffHor!O23</f>
        <v/>
      </c>
      <c r="J13" s="36" t="n"/>
    </row>
    <row r="14">
      <c r="A14" t="inlineStr">
        <is>
          <t xml:space="preserve">user energy </t>
        </is>
      </c>
      <c r="B14" s="28">
        <f>GlobHor_DiffHor!Q23</f>
        <v/>
      </c>
    </row>
    <row r="15">
      <c r="A15" t="inlineStr">
        <is>
          <t xml:space="preserve">specific production </t>
        </is>
      </c>
      <c r="B15" s="28">
        <f>B13/B10</f>
        <v/>
      </c>
    </row>
    <row r="16">
      <c r="A16" t="inlineStr">
        <is>
          <t xml:space="preserve">Perf Ratio PR </t>
        </is>
      </c>
      <c r="B16" s="46">
        <f>GlobHor_DiffHor!T23*100</f>
        <v/>
      </c>
    </row>
    <row r="17">
      <c r="A17" t="inlineStr">
        <is>
          <t xml:space="preserve">Solar fraction SF </t>
        </is>
      </c>
      <c r="B17" s="28">
        <f>GlobHor_DiffHor!R23/GlobHor_DiffHor!Q23*100</f>
        <v/>
      </c>
    </row>
    <row r="18">
      <c r="A18" s="38" t="inlineStr">
        <is>
          <t>PAGE 3</t>
        </is>
      </c>
      <c r="H18" s="37" t="n"/>
    </row>
    <row r="19">
      <c r="A19" s="38" t="inlineStr">
        <is>
          <t xml:space="preserve">Storage </t>
        </is>
      </c>
      <c r="B19" s="38" t="inlineStr">
        <is>
          <t>Self consumption</t>
        </is>
      </c>
      <c r="C19" s="38" t="n"/>
    </row>
    <row r="20">
      <c r="A20" t="inlineStr">
        <is>
          <t>Jan</t>
        </is>
      </c>
      <c r="B20">
        <f>GlobHor_DiffHor!Q11</f>
        <v/>
      </c>
      <c r="D20">
        <f>GlobHor_DiffHor!Q16</f>
        <v/>
      </c>
      <c r="F20">
        <f>GlobHor_DiffHor!Q22</f>
        <v/>
      </c>
    </row>
    <row r="21">
      <c r="A21" t="inlineStr">
        <is>
          <t xml:space="preserve">Feb </t>
        </is>
      </c>
      <c r="B21">
        <f>GlobHor_DiffHor!Q12</f>
        <v/>
      </c>
      <c r="D21">
        <f>GlobHor_DiffHor!Q17</f>
        <v/>
      </c>
      <c r="F21">
        <f>GlobHor_DiffHor!Q22</f>
        <v/>
      </c>
    </row>
    <row r="22">
      <c r="A22" t="inlineStr">
        <is>
          <t>March</t>
        </is>
      </c>
      <c r="B22">
        <f>GlobHor_DiffHor!Q13</f>
        <v/>
      </c>
      <c r="D22">
        <f>GlobHor_DiffHor!Q18</f>
        <v/>
      </c>
      <c r="F22">
        <f>GlobHor_DiffHor!Q23</f>
        <v/>
      </c>
    </row>
    <row r="23">
      <c r="A23" t="inlineStr">
        <is>
          <t xml:space="preserve">April </t>
        </is>
      </c>
      <c r="B23">
        <f>GlobHor_DiffHor!Q14</f>
        <v/>
      </c>
      <c r="D23">
        <f>GlobHor_DiffHor!Q19</f>
        <v/>
      </c>
    </row>
    <row r="24">
      <c r="A24" t="inlineStr">
        <is>
          <t>May</t>
        </is>
      </c>
      <c r="B24">
        <f>GlobHor_DiffHor!Q15</f>
        <v/>
      </c>
      <c r="D24">
        <f>GlobHor_DiffHor!Q20</f>
        <v/>
      </c>
    </row>
    <row r="25">
      <c r="A25" s="38" t="inlineStr">
        <is>
          <t>PV Array Characteristics</t>
        </is>
      </c>
    </row>
    <row r="26">
      <c r="A26" t="inlineStr">
        <is>
          <t xml:space="preserve">Manufacturer </t>
        </is>
      </c>
      <c r="C26">
        <f>'PAGE 3'!B14</f>
        <v/>
      </c>
      <c r="D26" t="inlineStr">
        <is>
          <t xml:space="preserve">Manufacturer </t>
        </is>
      </c>
      <c r="G26">
        <f>'PAGE 3'!D14</f>
        <v/>
      </c>
    </row>
    <row r="27">
      <c r="A27" t="inlineStr">
        <is>
          <t>Model</t>
        </is>
      </c>
      <c r="C27">
        <f>'PAGE 3'!B15</f>
        <v/>
      </c>
      <c r="D27" t="inlineStr">
        <is>
          <t>Model</t>
        </is>
      </c>
      <c r="G27">
        <f>'PAGE 3'!D15</f>
        <v/>
      </c>
    </row>
    <row r="28">
      <c r="A28" t="inlineStr">
        <is>
          <t>(Custom parameters definition)</t>
        </is>
      </c>
      <c r="C28">
        <f>'PAGE 3'!B16</f>
        <v/>
      </c>
      <c r="D28" t="inlineStr">
        <is>
          <t>(Custom parameters definition)</t>
        </is>
      </c>
    </row>
    <row r="29">
      <c r="A29" t="inlineStr">
        <is>
          <t>Unit Nom. Power</t>
        </is>
      </c>
      <c r="C29" s="70">
        <f>'PAGE 3'!B17</f>
        <v/>
      </c>
      <c r="D29" t="inlineStr">
        <is>
          <t>Unit Nom. Power</t>
        </is>
      </c>
      <c r="G29" s="49">
        <f>'PAGE 3'!D17</f>
        <v/>
      </c>
    </row>
    <row r="30">
      <c r="A30" s="38" t="inlineStr">
        <is>
          <t>Array #1 - PV Array</t>
        </is>
      </c>
    </row>
    <row r="31">
      <c r="A31" t="inlineStr">
        <is>
          <t>Orientation</t>
        </is>
      </c>
      <c r="B31" s="70">
        <f>'PAGE 3'!B20</f>
        <v/>
      </c>
      <c r="C31" t="inlineStr">
        <is>
          <t>Number of inverters</t>
        </is>
      </c>
      <c r="D31" s="48">
        <f>ROUND(B34/(B10*1000)*100,0)</f>
        <v/>
      </c>
      <c r="E31" s="49">
        <f>D31/100</f>
        <v/>
      </c>
    </row>
    <row r="32">
      <c r="A32" t="inlineStr">
        <is>
          <t>Tilt/Azimuth</t>
        </is>
      </c>
      <c r="B32" s="70">
        <f>'PAGE 3'!B21</f>
        <v/>
      </c>
      <c r="C32" t="inlineStr">
        <is>
          <t>Total power</t>
        </is>
      </c>
      <c r="D32" s="50">
        <f>'PAGE 3'!D23</f>
        <v/>
      </c>
      <c r="E32" s="70" t="n"/>
    </row>
    <row r="33">
      <c r="A33" t="inlineStr">
        <is>
          <t>Number of PV modules</t>
        </is>
      </c>
      <c r="B33" s="70">
        <f>'PAGE 3'!B22</f>
        <v/>
      </c>
    </row>
    <row r="34">
      <c r="A34" t="inlineStr">
        <is>
          <t>Nominal (STC)</t>
        </is>
      </c>
      <c r="B34" s="70">
        <f>'PAGE 3'!B23</f>
        <v/>
      </c>
      <c r="C34" t="inlineStr">
        <is>
          <t xml:space="preserve">Operating voltage </t>
        </is>
      </c>
      <c r="D34" s="35">
        <f>'PAGE 3'!D25</f>
        <v/>
      </c>
    </row>
    <row r="35">
      <c r="A35" t="inlineStr">
        <is>
          <t>Modules</t>
        </is>
      </c>
      <c r="B35" s="70">
        <f>'PAGE 3'!B24</f>
        <v/>
      </c>
      <c r="D35" s="31" t="n"/>
    </row>
    <row r="36">
      <c r="A36" s="38" t="inlineStr">
        <is>
          <t>At operating cond. (50°C)</t>
        </is>
      </c>
      <c r="B36" s="70" t="n"/>
      <c r="C36" t="inlineStr">
        <is>
          <t>Pnom ratio</t>
        </is>
      </c>
      <c r="D36" s="28">
        <f>'PAGE 3'!D26</f>
        <v/>
      </c>
    </row>
    <row r="37">
      <c r="A37" t="inlineStr">
        <is>
          <t>Pmpp</t>
        </is>
      </c>
      <c r="B37" s="70">
        <f>'PAGE 3'!B26</f>
        <v/>
      </c>
    </row>
    <row r="38">
      <c r="A38" t="inlineStr">
        <is>
          <t>U mpp</t>
        </is>
      </c>
      <c r="B38" s="47">
        <f>'PAGE 3'!B27</f>
        <v/>
      </c>
    </row>
    <row r="39">
      <c r="A39" t="inlineStr">
        <is>
          <t>I mpp</t>
        </is>
      </c>
      <c r="B39" s="47">
        <f>'PAGE 3'!B28</f>
        <v/>
      </c>
    </row>
    <row r="40">
      <c r="A40" s="38" t="inlineStr">
        <is>
          <t>Array #2 - PV Array</t>
        </is>
      </c>
    </row>
    <row r="41">
      <c r="A41" t="inlineStr">
        <is>
          <t>Orientation</t>
        </is>
      </c>
      <c r="B41" s="70">
        <f>'PAGE 3'!B30</f>
        <v/>
      </c>
      <c r="C41" t="inlineStr">
        <is>
          <t>Number of inverters</t>
        </is>
      </c>
      <c r="D41" s="48">
        <f>ROUND(B44/(B10*1000)*100,0)</f>
        <v/>
      </c>
      <c r="E41" s="49">
        <f>D41/100</f>
        <v/>
      </c>
    </row>
    <row r="42">
      <c r="A42" t="inlineStr">
        <is>
          <t>Tilt/Azimuth</t>
        </is>
      </c>
      <c r="B42" s="70">
        <f>'PAGE 3'!B31</f>
        <v/>
      </c>
      <c r="C42" t="inlineStr">
        <is>
          <t>Total power</t>
        </is>
      </c>
      <c r="D42" s="50">
        <f>'PAGE 3'!D33</f>
        <v/>
      </c>
      <c r="E42" s="70" t="n"/>
    </row>
    <row r="43">
      <c r="A43" t="inlineStr">
        <is>
          <t>Number of PV modules</t>
        </is>
      </c>
      <c r="B43" s="70">
        <f>'PAGE 3'!B32</f>
        <v/>
      </c>
    </row>
    <row r="44">
      <c r="A44" t="inlineStr">
        <is>
          <t>Nominal (STC)</t>
        </is>
      </c>
      <c r="B44" s="70">
        <f>'PAGE 3'!B33</f>
        <v/>
      </c>
      <c r="D44" s="35" t="n"/>
    </row>
    <row r="45">
      <c r="A45" t="inlineStr">
        <is>
          <t>Modules</t>
        </is>
      </c>
      <c r="B45" s="70">
        <f>'PAGE 3'!B34</f>
        <v/>
      </c>
      <c r="D45" s="31" t="n"/>
    </row>
    <row r="46">
      <c r="A46" s="38" t="inlineStr">
        <is>
          <t>At operating cond. (50°C)</t>
        </is>
      </c>
      <c r="B46" s="70" t="n"/>
      <c r="C46" t="inlineStr">
        <is>
          <t>Pnom ratio</t>
        </is>
      </c>
      <c r="D46" s="28">
        <f>'PAGE 3'!D36</f>
        <v/>
      </c>
    </row>
    <row r="47">
      <c r="A47" t="inlineStr">
        <is>
          <t>Pmpp</t>
        </is>
      </c>
      <c r="B47" s="70">
        <f>'PAGE 3'!B36</f>
        <v/>
      </c>
    </row>
    <row r="48">
      <c r="A48" t="inlineStr">
        <is>
          <t>U mpp</t>
        </is>
      </c>
      <c r="B48" s="47">
        <f>'PAGE 3'!B37</f>
        <v/>
      </c>
    </row>
    <row r="49">
      <c r="A49" t="inlineStr">
        <is>
          <t>I mpp</t>
        </is>
      </c>
      <c r="B49" s="47">
        <f>'PAGE 3'!B38</f>
        <v/>
      </c>
    </row>
    <row r="50">
      <c r="A50" s="38" t="inlineStr">
        <is>
          <t>Array #3 - PV Array</t>
        </is>
      </c>
    </row>
    <row r="51">
      <c r="A51" t="inlineStr">
        <is>
          <t>Orientation</t>
        </is>
      </c>
      <c r="B51" s="70">
        <f>'PAGE 3'!B40</f>
        <v/>
      </c>
      <c r="C51" t="inlineStr">
        <is>
          <t>Number of inverters</t>
        </is>
      </c>
      <c r="D51" s="48">
        <f>ROUND(B54/(B10*1000)*100,0)</f>
        <v/>
      </c>
      <c r="E51" s="49">
        <f>D51/100</f>
        <v/>
      </c>
    </row>
    <row r="52">
      <c r="A52" t="inlineStr">
        <is>
          <t>Tilt/Azimuth</t>
        </is>
      </c>
      <c r="B52" s="70">
        <f>'PAGE 3'!B51</f>
        <v/>
      </c>
      <c r="C52" t="inlineStr">
        <is>
          <t>Total power</t>
        </is>
      </c>
      <c r="D52" s="50">
        <f>'PAGE 3'!D53</f>
        <v/>
      </c>
      <c r="E52" s="70" t="n"/>
    </row>
    <row r="53">
      <c r="A53" t="inlineStr">
        <is>
          <t>Number of PV modules</t>
        </is>
      </c>
      <c r="B53" s="70">
        <f>'PAGE 3'!B52</f>
        <v/>
      </c>
    </row>
    <row r="54">
      <c r="A54" t="inlineStr">
        <is>
          <t>Nominal (STC)</t>
        </is>
      </c>
      <c r="B54" s="70">
        <f>'PAGE 3'!B53</f>
        <v/>
      </c>
      <c r="C54" t="inlineStr">
        <is>
          <t xml:space="preserve">Operating voltage </t>
        </is>
      </c>
      <c r="D54" s="35">
        <f>'PAGE 3'!D55</f>
        <v/>
      </c>
    </row>
    <row r="55">
      <c r="A55" t="inlineStr">
        <is>
          <t>Modules</t>
        </is>
      </c>
      <c r="B55" s="70">
        <f>'PAGE 3'!B54</f>
        <v/>
      </c>
      <c r="D55" s="31" t="n"/>
    </row>
    <row r="56">
      <c r="A56" s="38" t="inlineStr">
        <is>
          <t>At operating cond. (50°C)</t>
        </is>
      </c>
      <c r="B56" s="70" t="n"/>
      <c r="C56" t="inlineStr">
        <is>
          <t>Pnom ratio</t>
        </is>
      </c>
      <c r="D56" s="28">
        <f>'PAGE 3'!D56</f>
        <v/>
      </c>
    </row>
    <row r="57">
      <c r="A57" t="inlineStr">
        <is>
          <t>Pmpp</t>
        </is>
      </c>
      <c r="B57" s="70">
        <f>'PAGE 3'!B46</f>
        <v/>
      </c>
    </row>
    <row r="58">
      <c r="A58" t="inlineStr">
        <is>
          <t>U mpp</t>
        </is>
      </c>
      <c r="B58" s="47">
        <f>'PAGE 3'!B47</f>
        <v/>
      </c>
    </row>
    <row r="59">
      <c r="A59" t="inlineStr">
        <is>
          <t>I mpp</t>
        </is>
      </c>
      <c r="B59" s="47">
        <f>'PAGE 3'!B48</f>
        <v/>
      </c>
    </row>
    <row r="60">
      <c r="A60" s="38" t="inlineStr">
        <is>
          <t>Array #4 - PV Array</t>
        </is>
      </c>
    </row>
    <row r="61">
      <c r="A61" t="inlineStr">
        <is>
          <t>Orientation</t>
        </is>
      </c>
      <c r="B61">
        <f>'PAGE 3'!B50</f>
        <v/>
      </c>
      <c r="C61" t="inlineStr">
        <is>
          <t>Number of inverters</t>
        </is>
      </c>
      <c r="D61" s="48">
        <f>ROUND(B64/(B10*1000)*100,0)</f>
        <v/>
      </c>
      <c r="E61" s="49">
        <f>D61/100</f>
        <v/>
      </c>
    </row>
    <row r="62">
      <c r="A62" t="inlineStr">
        <is>
          <t>Tilt/Azimuth</t>
        </is>
      </c>
      <c r="B62">
        <f>'PAGE 3'!B51</f>
        <v/>
      </c>
      <c r="C62" t="inlineStr">
        <is>
          <t>Total power</t>
        </is>
      </c>
      <c r="D62" s="50">
        <f>'PAGE 3'!D53</f>
        <v/>
      </c>
      <c r="E62" s="70" t="n"/>
    </row>
    <row r="63">
      <c r="A63" t="inlineStr">
        <is>
          <t>Number of PV modules</t>
        </is>
      </c>
      <c r="B63">
        <f>'PAGE 3'!B52</f>
        <v/>
      </c>
    </row>
    <row r="64">
      <c r="A64" t="inlineStr">
        <is>
          <t>Nominal (STC)</t>
        </is>
      </c>
      <c r="B64">
        <f>'PAGE 3'!B53</f>
        <v/>
      </c>
      <c r="C64" t="inlineStr">
        <is>
          <t xml:space="preserve">Operating voltage </t>
        </is>
      </c>
      <c r="D64" s="35">
        <f>'PAGE 3'!D55</f>
        <v/>
      </c>
    </row>
    <row r="65">
      <c r="A65" t="inlineStr">
        <is>
          <t>Modules</t>
        </is>
      </c>
      <c r="B65">
        <f>'PAGE 3'!B54</f>
        <v/>
      </c>
      <c r="D65" s="31" t="n"/>
    </row>
    <row r="66">
      <c r="A66" s="38" t="inlineStr">
        <is>
          <t>At operating cond. (50°C)</t>
        </is>
      </c>
      <c r="C66" t="inlineStr">
        <is>
          <t>Pnom ratio</t>
        </is>
      </c>
      <c r="D66" s="28">
        <f>'PAGE 3'!D56</f>
        <v/>
      </c>
    </row>
    <row r="67">
      <c r="A67" t="inlineStr">
        <is>
          <t>Pmpp</t>
        </is>
      </c>
      <c r="B67" s="70">
        <f>'PAGE 3'!B56</f>
        <v/>
      </c>
    </row>
    <row r="68">
      <c r="A68" t="inlineStr">
        <is>
          <t>U mpp</t>
        </is>
      </c>
      <c r="B68" s="47">
        <f>'PAGE 3'!B57</f>
        <v/>
      </c>
    </row>
    <row r="69">
      <c r="A69" t="inlineStr">
        <is>
          <t>I mpp</t>
        </is>
      </c>
      <c r="B69" s="47">
        <f>'PAGE 3'!B58</f>
        <v/>
      </c>
    </row>
    <row r="70">
      <c r="A70" s="38" t="inlineStr">
        <is>
          <t>Total PV power</t>
        </is>
      </c>
      <c r="C70" t="inlineStr">
        <is>
          <t>Total inverter power</t>
        </is>
      </c>
    </row>
    <row r="71">
      <c r="A71" t="inlineStr">
        <is>
          <t>Nominal (STC)</t>
        </is>
      </c>
      <c r="B71" s="31">
        <f>'PAGE 3'!B61</f>
        <v/>
      </c>
      <c r="C71" t="inlineStr">
        <is>
          <t>Total power</t>
        </is>
      </c>
      <c r="D71">
        <f>'PAGE 3'!D61</f>
        <v/>
      </c>
    </row>
    <row r="72">
      <c r="A72" t="inlineStr">
        <is>
          <t>Total</t>
        </is>
      </c>
      <c r="B72">
        <f>'PAGE 3'!B62</f>
        <v/>
      </c>
      <c r="C72" t="inlineStr">
        <is>
          <t xml:space="preserve">Number of inverers </t>
        </is>
      </c>
      <c r="D72">
        <f>'PAGE 3'!D62</f>
        <v/>
      </c>
    </row>
    <row r="73">
      <c r="C73" t="inlineStr">
        <is>
          <t xml:space="preserve">Pnom ratio </t>
        </is>
      </c>
      <c r="D73" s="28">
        <f>'PAGE 3'!D63</f>
        <v/>
      </c>
    </row>
    <row r="75">
      <c r="A75" s="38" t="inlineStr">
        <is>
          <t>PAGE 4</t>
        </is>
      </c>
    </row>
    <row r="76">
      <c r="A76" s="38" t="inlineStr">
        <is>
          <t xml:space="preserve">Grid Storage </t>
        </is>
      </c>
      <c r="C76" s="38" t="inlineStr">
        <is>
          <t>Battery input charger</t>
        </is>
      </c>
    </row>
    <row r="77">
      <c r="A77" t="inlineStr">
        <is>
          <t>Battery Pack</t>
        </is>
      </c>
      <c r="B77">
        <f>F9</f>
        <v/>
      </c>
      <c r="C77" t="inlineStr">
        <is>
          <t>Max. charging power</t>
        </is>
      </c>
      <c r="D77" s="28">
        <f>B78*157/1000</f>
        <v/>
      </c>
    </row>
    <row r="78">
      <c r="A78" t="inlineStr">
        <is>
          <t xml:space="preserve">Voltage </t>
        </is>
      </c>
      <c r="B78">
        <f>F10</f>
        <v/>
      </c>
      <c r="C78" s="38" t="inlineStr">
        <is>
          <t xml:space="preserve">Battery to grid inverter </t>
        </is>
      </c>
    </row>
    <row r="79">
      <c r="A79" t="inlineStr">
        <is>
          <t xml:space="preserve">Nominal Capacity </t>
        </is>
      </c>
      <c r="B79">
        <f>F11</f>
        <v/>
      </c>
      <c r="C79" t="inlineStr">
        <is>
          <t>max discharing power</t>
        </is>
      </c>
      <c r="D79" s="28">
        <f>'PAGE 4'!D5=51*314*0.5*0.95/1000</f>
        <v/>
      </c>
    </row>
    <row r="80">
      <c r="A80" t="inlineStr">
        <is>
          <t>Norminal Energy</t>
        </is>
      </c>
      <c r="B80" t="n">
        <v>16.1</v>
      </c>
    </row>
    <row r="81">
      <c r="A81" t="inlineStr">
        <is>
          <t>Usable energy</t>
        </is>
      </c>
      <c r="B81" t="n">
        <v>12.1</v>
      </c>
    </row>
    <row r="83">
      <c r="A83" s="38" t="inlineStr">
        <is>
          <t>DC Wiring losses</t>
        </is>
      </c>
    </row>
    <row r="84">
      <c r="A84" t="inlineStr">
        <is>
          <t xml:space="preserve">Loss fraction </t>
        </is>
      </c>
      <c r="B84" s="28">
        <f>IFERROR((B34*B87+B44*B90+B54*D87+B64*D90)/(B34+B44+B54+B64),0)</f>
        <v/>
      </c>
    </row>
    <row r="85">
      <c r="A85" s="38" t="inlineStr">
        <is>
          <t>Array #1 - PV Array (Length)</t>
        </is>
      </c>
      <c r="B85" t="n">
        <v>100</v>
      </c>
      <c r="C85" s="38" t="inlineStr">
        <is>
          <t>Array #3 - PV Array (Length)</t>
        </is>
      </c>
      <c r="D85" t="n">
        <v>0</v>
      </c>
    </row>
    <row r="86">
      <c r="A86" t="inlineStr">
        <is>
          <t xml:space="preserve">Global array res. </t>
        </is>
      </c>
      <c r="B86" s="31">
        <f>0.0175*B85/6*1000</f>
        <v/>
      </c>
      <c r="C86" t="inlineStr">
        <is>
          <t xml:space="preserve">Global array res. </t>
        </is>
      </c>
      <c r="D86" s="31">
        <f>0.0175*D85/6*1000</f>
        <v/>
      </c>
    </row>
    <row r="87">
      <c r="A87" t="inlineStr">
        <is>
          <t xml:space="preserve">Loss fraction </t>
        </is>
      </c>
      <c r="B87" s="28">
        <f>16^2*B86/1000/B34*100</f>
        <v/>
      </c>
      <c r="C87" t="inlineStr">
        <is>
          <t xml:space="preserve">Loss fraction </t>
        </is>
      </c>
      <c r="D87" s="28">
        <f>IFERROR(16^2*D86/1000/B54*100,0)</f>
        <v/>
      </c>
    </row>
    <row r="88">
      <c r="A88" s="38" t="inlineStr">
        <is>
          <t>Array #2 - PV Array (Length)</t>
        </is>
      </c>
      <c r="B88" t="n">
        <v>80</v>
      </c>
      <c r="C88" s="38" t="inlineStr">
        <is>
          <t>Array #4 - PV Array (Length)</t>
        </is>
      </c>
      <c r="D88" t="n">
        <v>0</v>
      </c>
    </row>
    <row r="89">
      <c r="A89" t="inlineStr">
        <is>
          <t xml:space="preserve">Global array res. </t>
        </is>
      </c>
      <c r="B89" s="31">
        <f>0.0175*B88/6*1000</f>
        <v/>
      </c>
      <c r="C89" t="inlineStr">
        <is>
          <t xml:space="preserve">Global array res. </t>
        </is>
      </c>
      <c r="D89" s="31">
        <f>0.0175*D88/6*1000</f>
        <v/>
      </c>
    </row>
    <row r="90">
      <c r="A90" t="inlineStr">
        <is>
          <t xml:space="preserve">Loss fraction </t>
        </is>
      </c>
      <c r="B90" s="28">
        <f>16^2*B89/1000/B44*100</f>
        <v/>
      </c>
      <c r="C90" t="inlineStr">
        <is>
          <t xml:space="preserve">Loss fraction </t>
        </is>
      </c>
      <c r="D90" s="28">
        <f>IFERROR(16^2*D89/1000/B64*100,0)</f>
        <v/>
      </c>
    </row>
    <row r="91">
      <c r="A91" s="38" t="inlineStr">
        <is>
          <t>AC Wiring losses</t>
        </is>
      </c>
      <c r="B91" t="inlineStr">
        <is>
          <t>HIS MODEL</t>
        </is>
      </c>
      <c r="C91" s="35" t="inlineStr">
        <is>
          <t>HIT MODEL</t>
        </is>
      </c>
    </row>
    <row r="92">
      <c r="A92" t="inlineStr">
        <is>
          <t xml:space="preserve">Inverter voltage </t>
        </is>
      </c>
      <c r="B92" s="7" t="n">
        <v>220</v>
      </c>
      <c r="C92" t="n">
        <v>400</v>
      </c>
    </row>
    <row r="93">
      <c r="A93" s="38" t="inlineStr">
        <is>
          <t>Global System</t>
        </is>
      </c>
    </row>
    <row r="94">
      <c r="A94" t="inlineStr">
        <is>
          <t xml:space="preserve">Wire section </t>
        </is>
      </c>
      <c r="B94" s="40" t="inlineStr">
        <is>
          <t>2X4</t>
        </is>
      </c>
      <c r="C94" s="35" t="inlineStr">
        <is>
          <t>3X3</t>
        </is>
      </c>
    </row>
    <row r="95">
      <c r="A95" t="inlineStr">
        <is>
          <t xml:space="preserve">Wires length </t>
        </is>
      </c>
      <c r="B95" s="7" t="n">
        <v>10</v>
      </c>
      <c r="C95" t="n">
        <v>20</v>
      </c>
    </row>
  </sheetData>
  <mergeCells count="7">
    <mergeCell ref="A4:B4"/>
    <mergeCell ref="A2:B2"/>
    <mergeCell ref="A12:F12"/>
    <mergeCell ref="A8:B8"/>
    <mergeCell ref="A3:B3"/>
    <mergeCell ref="E8:F8"/>
    <mergeCell ref="C8:D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zoomScale="85" zoomScaleNormal="85" workbookViewId="0">
      <selection activeCell="T23" sqref="T23"/>
    </sheetView>
  </sheetViews>
  <sheetFormatPr baseColWidth="8" defaultRowHeight="15"/>
  <cols>
    <col width="15.140625" bestFit="1" customWidth="1" style="71" min="1" max="1"/>
    <col width="12.42578125" bestFit="1" customWidth="1" style="71" min="2" max="2"/>
    <col width="12.7109375" bestFit="1" customWidth="1" style="71" min="3" max="3"/>
    <col width="18.42578125" bestFit="1" customWidth="1" style="71" min="4" max="4"/>
    <col width="12.42578125" bestFit="1" customWidth="1" style="71" min="5" max="5"/>
    <col width="17.42578125" bestFit="1" customWidth="1" style="71" min="6" max="6"/>
    <col width="11.85546875" bestFit="1" customWidth="1" style="71" min="7" max="11"/>
    <col width="17.42578125" bestFit="1" customWidth="1" style="71" min="12" max="12"/>
    <col width="7.7109375" bestFit="1" customWidth="1" style="71" min="13" max="13"/>
    <col width="30.42578125" bestFit="1" customWidth="1" style="71" min="14" max="14"/>
    <col width="7.5703125" bestFit="1" customWidth="1" style="71" min="15" max="15"/>
    <col width="21.5703125" customWidth="1" style="71" min="21" max="21"/>
  </cols>
  <sheetData>
    <row r="1">
      <c r="N1" s="1" t="inlineStr">
        <is>
          <t>INPUT</t>
        </is>
      </c>
      <c r="O1" s="1" t="inlineStr">
        <is>
          <t>Value</t>
        </is>
      </c>
      <c r="P1" s="1" t="inlineStr">
        <is>
          <t>Unit</t>
        </is>
      </c>
    </row>
    <row r="2">
      <c r="C2" s="1" t="inlineStr">
        <is>
          <t>Orientation</t>
        </is>
      </c>
      <c r="D2" s="6" t="inlineStr">
        <is>
          <t>No. Panel</t>
        </is>
      </c>
      <c r="E2" s="1" t="inlineStr">
        <is>
          <t>TF</t>
        </is>
      </c>
      <c r="G2" s="8" t="inlineStr">
        <is>
          <t>INPUT</t>
        </is>
      </c>
      <c r="H2" s="8" t="inlineStr">
        <is>
          <t>Value</t>
        </is>
      </c>
      <c r="I2" s="8" t="inlineStr">
        <is>
          <t>Unit</t>
        </is>
      </c>
      <c r="N2" t="inlineStr">
        <is>
          <t>P50 Annual Production</t>
        </is>
      </c>
      <c r="O2" s="28">
        <f>O23</f>
        <v/>
      </c>
      <c r="P2" t="inlineStr">
        <is>
          <t>kWh/year</t>
        </is>
      </c>
    </row>
    <row r="3">
      <c r="C3" t="inlineStr">
        <is>
          <t>Ori 1</t>
        </is>
      </c>
      <c r="D3" s="7">
        <f>'PAGE 3'!B22</f>
        <v/>
      </c>
      <c r="E3" t="n">
        <v>0.97</v>
      </c>
      <c r="G3" t="inlineStr">
        <is>
          <t>PV Size</t>
        </is>
      </c>
      <c r="H3" s="7">
        <f>PAGE2!B14</f>
        <v/>
      </c>
      <c r="I3" s="7" t="inlineStr">
        <is>
          <t>kWp</t>
        </is>
      </c>
      <c r="N3" t="inlineStr">
        <is>
          <t>Year-to-Year Weather Variability</t>
        </is>
      </c>
      <c r="O3" s="29">
        <f>'PAGE 7'!B2/100</f>
        <v/>
      </c>
      <c r="P3" t="inlineStr">
        <is>
          <t>%</t>
        </is>
      </c>
      <c r="R3" t="inlineStr">
        <is>
          <t>Soiling &amp; Mismatch Uncertainty</t>
        </is>
      </c>
      <c r="U3" t="n">
        <v>0.01</v>
      </c>
      <c r="V3" t="inlineStr">
        <is>
          <t>%</t>
        </is>
      </c>
    </row>
    <row r="4">
      <c r="C4" t="inlineStr">
        <is>
          <t>Ori 2</t>
        </is>
      </c>
      <c r="D4" s="7">
        <f>'PAGE 3'!B32</f>
        <v/>
      </c>
      <c r="E4" t="n">
        <v>0.95</v>
      </c>
      <c r="N4" t="inlineStr">
        <is>
          <t>PV Module Uncertainty</t>
        </is>
      </c>
      <c r="O4" s="30" t="n">
        <v>0.01</v>
      </c>
      <c r="P4" t="inlineStr">
        <is>
          <t>%</t>
        </is>
      </c>
      <c r="R4" t="inlineStr">
        <is>
          <t>Degradation Uncertainty</t>
        </is>
      </c>
      <c r="U4" t="n">
        <v>0.01</v>
      </c>
      <c r="V4" t="inlineStr">
        <is>
          <t>%</t>
        </is>
      </c>
    </row>
    <row r="5">
      <c r="C5" t="inlineStr">
        <is>
          <t>Ori 3</t>
        </is>
      </c>
      <c r="D5" s="7">
        <f>'PAGE 3'!B42</f>
        <v/>
      </c>
      <c r="E5" t="n">
        <v>0.97</v>
      </c>
      <c r="G5" t="inlineStr">
        <is>
          <t>Optical Loss</t>
        </is>
      </c>
      <c r="H5" t="n">
        <v>0.05</v>
      </c>
      <c r="I5" t="inlineStr">
        <is>
          <t>%</t>
        </is>
      </c>
      <c r="N5" t="inlineStr">
        <is>
          <t>Inverter Efficiency Uncertainty</t>
        </is>
      </c>
      <c r="O5" s="30" t="n">
        <v>0.005</v>
      </c>
      <c r="P5" t="inlineStr">
        <is>
          <t>%</t>
        </is>
      </c>
      <c r="R5" t="inlineStr">
        <is>
          <t>Customer Variability</t>
        </is>
      </c>
      <c r="U5">
        <f>O3</f>
        <v/>
      </c>
      <c r="V5" t="inlineStr">
        <is>
          <t>%</t>
        </is>
      </c>
    </row>
    <row r="6">
      <c r="C6" t="inlineStr">
        <is>
          <t>Ori 4</t>
        </is>
      </c>
      <c r="D6" s="7">
        <f>'PAGE 3'!B52</f>
        <v/>
      </c>
      <c r="E6" t="n">
        <v>0.97</v>
      </c>
      <c r="G6" t="inlineStr">
        <is>
          <t>Annual Load</t>
        </is>
      </c>
      <c r="H6" s="7">
        <f>'PAGE 1'!B6</f>
        <v/>
      </c>
      <c r="I6" t="inlineStr">
        <is>
          <t>kWh/year</t>
        </is>
      </c>
      <c r="N6" t="inlineStr">
        <is>
          <t>Soiling &amp; Mismatch Uncertainty</t>
        </is>
      </c>
      <c r="O6" s="30" t="n">
        <v>0.01</v>
      </c>
      <c r="P6" t="inlineStr">
        <is>
          <t>%</t>
        </is>
      </c>
    </row>
    <row r="7">
      <c r="N7" s="70" t="inlineStr">
        <is>
          <t>Degradation Uncertainty</t>
        </is>
      </c>
      <c r="O7" s="30" t="n">
        <v>0.01</v>
      </c>
      <c r="P7" t="inlineStr">
        <is>
          <t>%</t>
        </is>
      </c>
    </row>
    <row r="8">
      <c r="N8" s="33" t="inlineStr">
        <is>
          <t>Customer Variability</t>
        </is>
      </c>
      <c r="O8" s="30">
        <f>O3</f>
        <v/>
      </c>
      <c r="P8" t="inlineStr">
        <is>
          <t>%</t>
        </is>
      </c>
    </row>
    <row r="9">
      <c r="A9" s="23" t="inlineStr">
        <is>
          <t>Input / Month</t>
        </is>
      </c>
      <c r="B9" s="23" t="inlineStr">
        <is>
          <t>GlobHor</t>
        </is>
      </c>
      <c r="C9" s="23" t="inlineStr">
        <is>
          <t>Monthly %</t>
        </is>
      </c>
      <c r="D9" s="14" t="inlineStr">
        <is>
          <t>GlobHor</t>
        </is>
      </c>
      <c r="E9" s="23" t="inlineStr">
        <is>
          <t>Diffuse Ratio</t>
        </is>
      </c>
      <c r="F9" s="14" t="inlineStr">
        <is>
          <t>DiffHor</t>
        </is>
      </c>
      <c r="G9" s="14" t="inlineStr">
        <is>
          <t>T_Amb (°C)</t>
        </is>
      </c>
      <c r="H9" s="72" t="inlineStr">
        <is>
          <t>Ori1 GlobInc</t>
        </is>
      </c>
      <c r="I9" s="72" t="inlineStr">
        <is>
          <t>Ori2 GlobInc</t>
        </is>
      </c>
      <c r="J9" s="72" t="inlineStr">
        <is>
          <t>Ori3 GlobInc</t>
        </is>
      </c>
      <c r="K9" s="72" t="inlineStr">
        <is>
          <t>Ori4 GlobInc</t>
        </is>
      </c>
      <c r="L9" s="15" t="inlineStr">
        <is>
          <t>GlobInc</t>
        </is>
      </c>
      <c r="M9" s="21" t="inlineStr">
        <is>
          <t>GlobEff</t>
        </is>
      </c>
      <c r="N9" s="18" t="inlineStr">
        <is>
          <t>Monthly Performance Factor</t>
        </is>
      </c>
      <c r="O9" s="21" t="inlineStr">
        <is>
          <t>EArray</t>
        </is>
      </c>
      <c r="P9" s="25" t="inlineStr">
        <is>
          <t>Split %</t>
        </is>
      </c>
      <c r="Q9" s="22" t="inlineStr">
        <is>
          <t>E_User</t>
        </is>
      </c>
      <c r="R9" s="22" t="inlineStr">
        <is>
          <t>E_Solar</t>
        </is>
      </c>
      <c r="S9" s="21" t="inlineStr">
        <is>
          <t>E_Grid</t>
        </is>
      </c>
      <c r="T9" s="26" t="inlineStr">
        <is>
          <t>PR Ratio</t>
        </is>
      </c>
      <c r="U9" s="27" t="inlineStr">
        <is>
          <t>EFrGrid</t>
        </is>
      </c>
    </row>
    <row r="10">
      <c r="A10" s="1" t="inlineStr">
        <is>
          <t>YEAR INPUT</t>
        </is>
      </c>
      <c r="B10" s="6">
        <f>'PAGE 1'!B5</f>
        <v/>
      </c>
      <c r="C10" s="1" t="n"/>
      <c r="D10" s="9" t="n"/>
      <c r="E10" s="1" t="n"/>
      <c r="F10" s="9" t="n"/>
      <c r="G10" s="10" t="n"/>
      <c r="L10" s="10" t="n"/>
      <c r="M10" s="10" t="n"/>
      <c r="O10" s="10" t="n"/>
      <c r="Q10" s="16" t="n"/>
      <c r="R10" s="16" t="n"/>
      <c r="S10" s="10" t="n"/>
      <c r="T10" s="10" t="n"/>
      <c r="U10" s="19" t="n"/>
    </row>
    <row r="11">
      <c r="A11" t="inlineStr">
        <is>
          <t>Jan</t>
        </is>
      </c>
      <c r="C11" t="n">
        <v>0.08</v>
      </c>
      <c r="D11" s="10">
        <f>$B$10*C11</f>
        <v/>
      </c>
      <c r="E11" t="n">
        <v>0.55</v>
      </c>
      <c r="F11" s="11">
        <f>D11*E11</f>
        <v/>
      </c>
      <c r="G11" s="10" t="n">
        <v>27.5</v>
      </c>
      <c r="H11">
        <f>D11*$E$3</f>
        <v/>
      </c>
      <c r="I11">
        <f>D11*$E$4</f>
        <v/>
      </c>
      <c r="J11">
        <f>D11*$E$5</f>
        <v/>
      </c>
      <c r="K11">
        <f>D11*$E$6</f>
        <v/>
      </c>
      <c r="L11" s="11">
        <f>((H11*$D$3)+(I11*$D$4)+(J11*$D$5)+(K11*$D$6))/SUM($D$3:$D$6)</f>
        <v/>
      </c>
      <c r="M11" s="11">
        <f>L11*(1-$H$5)</f>
        <v/>
      </c>
      <c r="N11">
        <f>ROUND(0.99*(1-(IFERROR('PAGE 4'!$B$9,1.5)/100)*1.8)*(1-0.0035*G11)*(1-MAX(0,(IFERROR('PAGE2'!$D$15,1.2)-1.1)*0.15)),3)</f>
        <v/>
      </c>
      <c r="O11" s="11">
        <f>M11*$H$3*$N$11</f>
        <v/>
      </c>
      <c r="P11" t="n">
        <v>0.08</v>
      </c>
      <c r="Q11" s="17">
        <f>$H$6*P11</f>
        <v/>
      </c>
      <c r="R11" s="17">
        <f>MIN(O11,Q11)</f>
        <v/>
      </c>
      <c r="S11" s="12">
        <f>MAX(O11-R11,0)</f>
        <v/>
      </c>
      <c r="T11" s="13">
        <f>O11/(M11*$H$3)</f>
        <v/>
      </c>
      <c r="U11" s="20">
        <f>MAX(Q11-R11,0)</f>
        <v/>
      </c>
    </row>
    <row r="12">
      <c r="A12" t="inlineStr">
        <is>
          <t>Feb</t>
        </is>
      </c>
      <c r="C12" t="n">
        <v>0.07000000000000001</v>
      </c>
      <c r="D12" s="10">
        <f>$B$10*C12</f>
        <v/>
      </c>
      <c r="E12" t="n">
        <v>0.52</v>
      </c>
      <c r="F12" s="11">
        <f>D12*E12</f>
        <v/>
      </c>
      <c r="G12" s="10" t="n">
        <v>27.8</v>
      </c>
      <c r="H12">
        <f>D12*$E$3</f>
        <v/>
      </c>
      <c r="I12">
        <f>D12*$E$4</f>
        <v/>
      </c>
      <c r="J12">
        <f>D12*$E$5</f>
        <v/>
      </c>
      <c r="K12">
        <f>D12*$E$6</f>
        <v/>
      </c>
      <c r="L12" s="11">
        <f>((H12*$D$3)+(I12*$D$4)+(J12*$D$5)+(K12*$D$6))/SUM($D$3:$D$6)</f>
        <v/>
      </c>
      <c r="M12" s="11">
        <f>L12*(1-$H$5)</f>
        <v/>
      </c>
      <c r="N12">
        <f>ROUND(0.99*(1-(IFERROR('PAGE 4'!$B$9,1.5)/100)*1.8)*(1-0.0035*G12)*(1-MAX(0,(IFERROR('PAGE2'!$D$15,1.2)-1.1)*0.15)),3)</f>
        <v/>
      </c>
      <c r="O12" s="11">
        <f>M12*$H$3*$N$12</f>
        <v/>
      </c>
      <c r="P12" t="n">
        <v>0.075</v>
      </c>
      <c r="Q12" s="17">
        <f>$H$6*P12</f>
        <v/>
      </c>
      <c r="R12" s="17">
        <f>MIN(O12,Q12)</f>
        <v/>
      </c>
      <c r="S12" s="12">
        <f>MAX(O12-R12,0)</f>
        <v/>
      </c>
      <c r="T12" s="13">
        <f>O12/(M12*$H$3)</f>
        <v/>
      </c>
      <c r="U12" s="20">
        <f>MAX(Q12-R12,0)</f>
        <v/>
      </c>
    </row>
    <row r="13">
      <c r="A13" t="inlineStr">
        <is>
          <t>Mar</t>
        </is>
      </c>
      <c r="C13" t="n">
        <v>0.06</v>
      </c>
      <c r="D13" s="10">
        <f>$B$10*C13</f>
        <v/>
      </c>
      <c r="E13" t="n">
        <v>0.48</v>
      </c>
      <c r="F13" s="11">
        <f>D13*E13</f>
        <v/>
      </c>
      <c r="G13" s="10" t="n">
        <v>28.2</v>
      </c>
      <c r="H13">
        <f>D13*$E$3</f>
        <v/>
      </c>
      <c r="I13">
        <f>D13*$E$4</f>
        <v/>
      </c>
      <c r="J13">
        <f>D13*$E$5</f>
        <v/>
      </c>
      <c r="K13">
        <f>D13*$E$6</f>
        <v/>
      </c>
      <c r="L13" s="11">
        <f>((H13*$D$3)+(I13*$D$4)+(J13*$D$5)+(K13*$D$6))/SUM($D$3:$D$6)</f>
        <v/>
      </c>
      <c r="M13" s="11">
        <f>L13*(1-$H$5)</f>
        <v/>
      </c>
      <c r="N13">
        <f>ROUND(0.99*(1-(IFERROR('PAGE 4'!$B$9,1.5)/100)*1.8)*(1-0.0035*G13)*(1-MAX(0,(IFERROR('PAGE2'!$D$15,1.2)-1.1)*0.15)),3)</f>
        <v/>
      </c>
      <c r="O13" s="11">
        <f>M13*$H$3*$N$13</f>
        <v/>
      </c>
      <c r="P13" t="n">
        <v>0.08</v>
      </c>
      <c r="Q13" s="17">
        <f>$H$6*P13</f>
        <v/>
      </c>
      <c r="R13" s="17">
        <f>MIN(O13,Q13)</f>
        <v/>
      </c>
      <c r="S13" s="12">
        <f>MAX(O13-R13,0)</f>
        <v/>
      </c>
      <c r="T13" s="13">
        <f>O13/(M13*$H$3)</f>
        <v/>
      </c>
      <c r="U13" s="20">
        <f>MAX(Q13-R13,0)</f>
        <v/>
      </c>
    </row>
    <row r="14">
      <c r="A14" t="inlineStr">
        <is>
          <t>Apr</t>
        </is>
      </c>
      <c r="C14" t="n">
        <v>0.09</v>
      </c>
      <c r="D14" s="10">
        <f>$B$10*C14</f>
        <v/>
      </c>
      <c r="E14" t="n">
        <v>0.5</v>
      </c>
      <c r="F14" s="11">
        <f>D14*E14</f>
        <v/>
      </c>
      <c r="G14" s="10" t="n">
        <v>28.5</v>
      </c>
      <c r="H14">
        <f>D14*$E$3</f>
        <v/>
      </c>
      <c r="I14">
        <f>D14*$E$4</f>
        <v/>
      </c>
      <c r="J14">
        <f>D14*$E$5</f>
        <v/>
      </c>
      <c r="K14">
        <f>D14*$E$6</f>
        <v/>
      </c>
      <c r="L14" s="11">
        <f>((H14*$D$3)+(I14*$D$4)+(J14*$D$5)+(K14*$D$6))/SUM($D$3:$D$6)</f>
        <v/>
      </c>
      <c r="M14" s="11">
        <f>L14*(1-$H$5)</f>
        <v/>
      </c>
      <c r="N14">
        <f>ROUND(0.99*(1-(IFERROR('PAGE 4'!$B$9,1.5)/100)*1.8)*(1-0.0035*G14)*(1-MAX(0,(IFERROR('PAGE2'!$D$15,1.2)-1.1)*0.15)),3)</f>
        <v/>
      </c>
      <c r="O14" s="11">
        <f>M14*$H$3*$N$14</f>
        <v/>
      </c>
      <c r="P14" t="n">
        <v>0.08500000000000001</v>
      </c>
      <c r="Q14" s="17">
        <f>$H$6*P14</f>
        <v/>
      </c>
      <c r="R14" s="17">
        <f>MIN(O14,Q14)</f>
        <v/>
      </c>
      <c r="S14" s="12">
        <f>MAX(O14-R14,0)</f>
        <v/>
      </c>
      <c r="T14" s="13">
        <f>O14/(M14*$H$3)</f>
        <v/>
      </c>
      <c r="U14" s="20">
        <f>MAX(Q14-R14,0)</f>
        <v/>
      </c>
    </row>
    <row r="15">
      <c r="A15" t="inlineStr">
        <is>
          <t>May</t>
        </is>
      </c>
      <c r="C15" t="n">
        <v>0.08</v>
      </c>
      <c r="D15" s="10">
        <f>$B$10*C15</f>
        <v/>
      </c>
      <c r="E15" t="n">
        <v>0.53</v>
      </c>
      <c r="F15" s="11">
        <f>D15*E15</f>
        <v/>
      </c>
      <c r="G15" s="10" t="n">
        <v>28.8</v>
      </c>
      <c r="H15">
        <f>D15*$E$3</f>
        <v/>
      </c>
      <c r="I15">
        <f>D15*$E$4</f>
        <v/>
      </c>
      <c r="J15">
        <f>D15*$E$5</f>
        <v/>
      </c>
      <c r="K15">
        <f>D15*$E$6</f>
        <v/>
      </c>
      <c r="L15" s="11">
        <f>((H15*$D$3)+(I15*$D$4)+(J15*$D$5)+(K15*$D$6))/SUM($D$3:$D$6)</f>
        <v/>
      </c>
      <c r="M15" s="11">
        <f>L15*(1-$H$5)</f>
        <v/>
      </c>
      <c r="N15">
        <f>ROUND(0.99*(1-(IFERROR('PAGE 4'!$B$9,1.5)/100)*1.8)*(1-0.0035*G15)*(1-MAX(0,(IFERROR('PAGE2'!$D$15,1.2)-1.1)*0.15)),3)</f>
        <v/>
      </c>
      <c r="O15" s="11">
        <f>M15*$H$3*$N$15</f>
        <v/>
      </c>
      <c r="P15" t="n">
        <v>0.09</v>
      </c>
      <c r="Q15" s="17">
        <f>$H$6*P15</f>
        <v/>
      </c>
      <c r="R15" s="17">
        <f>MIN(O15,Q15)</f>
        <v/>
      </c>
      <c r="S15" s="12">
        <f>MAX(O15-R15,0)</f>
        <v/>
      </c>
      <c r="T15" s="13">
        <f>O15/(M15*$H$3)</f>
        <v/>
      </c>
      <c r="U15" s="20">
        <f>MAX(Q15-R15,0)</f>
        <v/>
      </c>
    </row>
    <row r="16">
      <c r="A16" t="inlineStr">
        <is>
          <t>Jun</t>
        </is>
      </c>
      <c r="C16" t="n">
        <v>0.09</v>
      </c>
      <c r="D16" s="10">
        <f>$B$10*C16</f>
        <v/>
      </c>
      <c r="E16" t="n">
        <v>0.49</v>
      </c>
      <c r="F16" s="11">
        <f>D16*E16</f>
        <v/>
      </c>
      <c r="G16" s="10" t="n">
        <v>28.9</v>
      </c>
      <c r="H16">
        <f>D16*$E$3</f>
        <v/>
      </c>
      <c r="I16">
        <f>D16*$E$4</f>
        <v/>
      </c>
      <c r="J16">
        <f>D16*$E$5</f>
        <v/>
      </c>
      <c r="K16">
        <f>D16*$E$6</f>
        <v/>
      </c>
      <c r="L16" s="11">
        <f>((H16*$D$3)+(I16*$D$4)+(J16*$D$5)+(K16*$D$6))/SUM($D$3:$D$6)</f>
        <v/>
      </c>
      <c r="M16" s="11">
        <f>L16*(1-$H$5)</f>
        <v/>
      </c>
      <c r="N16">
        <f>ROUND(0.99*(1-(IFERROR('PAGE 4'!$B$9,1.5)/100)*1.8)*(1-0.0035*G16)*(1-MAX(0,(IFERROR('PAGE2'!$D$15,1.2)-1.1)*0.15)),3)</f>
        <v/>
      </c>
      <c r="O16" s="11">
        <f>M16*$H$3*$N$16</f>
        <v/>
      </c>
      <c r="P16" t="n">
        <v>0.095</v>
      </c>
      <c r="Q16" s="17">
        <f>$H$6*P16</f>
        <v/>
      </c>
      <c r="R16" s="17">
        <f>MIN(O16,Q16)</f>
        <v/>
      </c>
      <c r="S16" s="12">
        <f>MAX(O16-R16,0)</f>
        <v/>
      </c>
      <c r="T16" s="13">
        <f>O16/(M16*$H$3)</f>
        <v/>
      </c>
      <c r="U16" s="20">
        <f>MAX(Q16-R16,0)</f>
        <v/>
      </c>
    </row>
    <row r="17">
      <c r="A17" t="inlineStr">
        <is>
          <t>Jul</t>
        </is>
      </c>
      <c r="C17" t="n">
        <v>0.08</v>
      </c>
      <c r="D17" s="10">
        <f>$B$10*C17</f>
        <v/>
      </c>
      <c r="E17" t="n">
        <v>0.45</v>
      </c>
      <c r="F17" s="11">
        <f>D17*E17</f>
        <v/>
      </c>
      <c r="G17" s="10" t="n">
        <v>28.7</v>
      </c>
      <c r="H17">
        <f>D17*$E$3</f>
        <v/>
      </c>
      <c r="I17">
        <f>D17*$E$4</f>
        <v/>
      </c>
      <c r="J17">
        <f>D17*$E$5</f>
        <v/>
      </c>
      <c r="K17">
        <f>D17*$E$6</f>
        <v/>
      </c>
      <c r="L17" s="11">
        <f>((H17*$D$3)+(I17*$D$4)+(J17*$D$5)+(K17*$D$6))/SUM($D$3:$D$6)</f>
        <v/>
      </c>
      <c r="M17" s="11">
        <f>L17*(1-$H$5)</f>
        <v/>
      </c>
      <c r="N17">
        <f>ROUND(0.99*(1-(IFERROR('PAGE 4'!$B$9,1.5)/100)*1.8)*(1-0.0035*G17)*(1-MAX(0,(IFERROR('PAGE2'!$D$15,1.2)-1.1)*0.15)),3)</f>
        <v/>
      </c>
      <c r="O17" s="11">
        <f>M17*$H$3*$N$17</f>
        <v/>
      </c>
      <c r="P17" t="n">
        <v>0.09</v>
      </c>
      <c r="Q17" s="17">
        <f>$H$6*P17</f>
        <v/>
      </c>
      <c r="R17" s="17">
        <f>MIN(O17,Q17)</f>
        <v/>
      </c>
      <c r="S17" s="12">
        <f>MAX(O17-R17,0)</f>
        <v/>
      </c>
      <c r="T17" s="13">
        <f>O17/(M17*$H$3)</f>
        <v/>
      </c>
      <c r="U17" s="20">
        <f>MAX(Q17-R17,0)</f>
        <v/>
      </c>
    </row>
    <row r="18">
      <c r="A18" t="inlineStr">
        <is>
          <t>Aug</t>
        </is>
      </c>
      <c r="C18" t="n">
        <v>0.08</v>
      </c>
      <c r="D18" s="10">
        <f>$B$10*C18</f>
        <v/>
      </c>
      <c r="E18" t="n">
        <v>0.46</v>
      </c>
      <c r="F18" s="11">
        <f>D18*E18</f>
        <v/>
      </c>
      <c r="G18" s="10" t="n">
        <v>28.6</v>
      </c>
      <c r="H18">
        <f>D18*$E$3</f>
        <v/>
      </c>
      <c r="I18">
        <f>D18*$E$4</f>
        <v/>
      </c>
      <c r="J18">
        <f>D18*$E$5</f>
        <v/>
      </c>
      <c r="K18">
        <f>D18*$E$6</f>
        <v/>
      </c>
      <c r="L18" s="11">
        <f>((H18*$D$3)+(I18*$D$4)+(J18*$D$5)+(K18*$D$6))/SUM($D$3:$D$6)</f>
        <v/>
      </c>
      <c r="M18" s="11">
        <f>L18*(1-$H$5)</f>
        <v/>
      </c>
      <c r="N18">
        <f>ROUND(0.99*(1-(IFERROR('PAGE 4'!$B$9,1.5)/100)*1.8)*(1-0.0035*G18)*(1-MAX(0,(IFERROR('PAGE2'!$D$15,1.2)-1.1)*0.15)),3)</f>
        <v/>
      </c>
      <c r="O18" s="11">
        <f>M18*$H$3*$N$18</f>
        <v/>
      </c>
      <c r="P18" t="n">
        <v>0.08500000000000001</v>
      </c>
      <c r="Q18" s="17">
        <f>$H$6*P18</f>
        <v/>
      </c>
      <c r="R18" s="17">
        <f>MIN(O18,Q18)</f>
        <v/>
      </c>
      <c r="S18" s="12">
        <f>MAX(O18-R18,0)</f>
        <v/>
      </c>
      <c r="T18" s="13">
        <f>O18/(M18*$H$3)</f>
        <v/>
      </c>
      <c r="U18" s="20">
        <f>MAX(Q18-R18,0)</f>
        <v/>
      </c>
    </row>
    <row r="19">
      <c r="A19" t="inlineStr">
        <is>
          <t>Sep</t>
        </is>
      </c>
      <c r="C19" t="n">
        <v>0.09</v>
      </c>
      <c r="D19" s="10">
        <f>$B$10*C19</f>
        <v/>
      </c>
      <c r="E19" t="n">
        <v>0.5</v>
      </c>
      <c r="F19" s="11">
        <f>D19*E19</f>
        <v/>
      </c>
      <c r="G19" s="10" t="n">
        <v>28.3</v>
      </c>
      <c r="H19">
        <f>D19*$E$3</f>
        <v/>
      </c>
      <c r="I19">
        <f>D19*$E$4</f>
        <v/>
      </c>
      <c r="J19">
        <f>D19*$E$5</f>
        <v/>
      </c>
      <c r="K19">
        <f>D19*$E$6</f>
        <v/>
      </c>
      <c r="L19" s="11">
        <f>((H19*$D$3)+(I19*$D$4)+(J19*$D$5)+(K19*$D$6))/SUM($D$3:$D$6)</f>
        <v/>
      </c>
      <c r="M19" s="11">
        <f>L19*(1-$H$5)</f>
        <v/>
      </c>
      <c r="N19">
        <f>ROUND(0.99*(1-(IFERROR('PAGE 4'!$B$9,1.5)/100)*1.8)*(1-0.0035*G19)*(1-MAX(0,(IFERROR('PAGE2'!$D$15,1.2)-1.1)*0.15)),3)</f>
        <v/>
      </c>
      <c r="O19" s="11">
        <f>M19*$H$3*$N$19</f>
        <v/>
      </c>
      <c r="P19" t="n">
        <v>0.08</v>
      </c>
      <c r="Q19" s="17">
        <f>$H$6*P19</f>
        <v/>
      </c>
      <c r="R19" s="17">
        <f>MIN(O19,Q19)</f>
        <v/>
      </c>
      <c r="S19" s="12">
        <f>MAX(O19-R19,0)</f>
        <v/>
      </c>
      <c r="T19" s="13">
        <f>O19/(M19*$H$3)</f>
        <v/>
      </c>
      <c r="U19" s="20">
        <f>MAX(Q19-R19,0)</f>
        <v/>
      </c>
    </row>
    <row r="20">
      <c r="A20" t="inlineStr">
        <is>
          <t>Oct</t>
        </is>
      </c>
      <c r="C20" t="n">
        <v>0.08</v>
      </c>
      <c r="D20" s="10">
        <f>$B$10*C20</f>
        <v/>
      </c>
      <c r="E20" t="n">
        <v>0.55</v>
      </c>
      <c r="F20" s="11">
        <f>D20*E20</f>
        <v/>
      </c>
      <c r="G20" s="10" t="n">
        <v>28</v>
      </c>
      <c r="H20">
        <f>D20*$E$3</f>
        <v/>
      </c>
      <c r="I20">
        <f>D20*$E$4</f>
        <v/>
      </c>
      <c r="J20">
        <f>D20*$E$5</f>
        <v/>
      </c>
      <c r="K20">
        <f>D20*$E$6</f>
        <v/>
      </c>
      <c r="L20" s="11">
        <f>((H20*$D$3)+(I20*$D$4)+(J20*$D$5)+(K20*$D$6))/SUM($D$3:$D$6)</f>
        <v/>
      </c>
      <c r="M20" s="11">
        <f>L20*(1-$H$5)</f>
        <v/>
      </c>
      <c r="N20">
        <f>ROUND(0.99*(1-(IFERROR('PAGE 4'!$B$9,1.5)/100)*1.8)*(1-0.0035*G20)*(1-MAX(0,(IFERROR('PAGE2'!$D$15,1.2)-1.1)*0.15)),3)</f>
        <v/>
      </c>
      <c r="O20" s="11">
        <f>M20*$H$3*$N$20</f>
        <v/>
      </c>
      <c r="P20" t="n">
        <v>0.08</v>
      </c>
      <c r="Q20" s="17">
        <f>$H$6*P20</f>
        <v/>
      </c>
      <c r="R20" s="17">
        <f>MIN(O20,Q20)</f>
        <v/>
      </c>
      <c r="S20" s="12">
        <f>MAX(O20-R20,0)</f>
        <v/>
      </c>
      <c r="T20" s="13">
        <f>O20/(M20*$H$3)</f>
        <v/>
      </c>
      <c r="U20" s="20">
        <f>MAX(Q20-R20,0)</f>
        <v/>
      </c>
    </row>
    <row r="21">
      <c r="A21" t="inlineStr">
        <is>
          <t>Nov</t>
        </is>
      </c>
      <c r="C21" t="n">
        <v>0.06</v>
      </c>
      <c r="D21" s="10">
        <f>$B$10*C21</f>
        <v/>
      </c>
      <c r="E21" t="n">
        <v>0.62</v>
      </c>
      <c r="F21" s="11">
        <f>D21*E21</f>
        <v/>
      </c>
      <c r="G21" s="10" t="n">
        <v>27.7</v>
      </c>
      <c r="H21">
        <f>D21*$E$3</f>
        <v/>
      </c>
      <c r="I21">
        <f>D21*$E$4</f>
        <v/>
      </c>
      <c r="J21">
        <f>D21*$E$5</f>
        <v/>
      </c>
      <c r="K21">
        <f>D21*$E$6</f>
        <v/>
      </c>
      <c r="L21" s="11">
        <f>((H21*$D$3)+(I21*$D$4)+(J21*$D$5)+(K21*$D$6))/SUM($D$3:$D$6)</f>
        <v/>
      </c>
      <c r="M21" s="11">
        <f>L21*(1-$H$5)</f>
        <v/>
      </c>
      <c r="N21">
        <f>ROUND(0.99*(1-(IFERROR('PAGE 4'!$B$9,1.5)/100)*1.8)*(1-0.0035*G21)*(1-MAX(0,(IFERROR('PAGE2'!$D$15,1.2)-1.1)*0.15)),3)</f>
        <v/>
      </c>
      <c r="O21" s="11">
        <f>M21*$H$3*$N$21</f>
        <v/>
      </c>
      <c r="P21" t="n">
        <v>0.075</v>
      </c>
      <c r="Q21" s="17">
        <f>$H$6*P21</f>
        <v/>
      </c>
      <c r="R21" s="17">
        <f>MIN(O21,Q21)</f>
        <v/>
      </c>
      <c r="S21" s="12">
        <f>MAX(O21-R21,0)</f>
        <v/>
      </c>
      <c r="T21" s="13">
        <f>O21/(M21*$H$3)</f>
        <v/>
      </c>
      <c r="U21" s="20">
        <f>MAX(Q21-R21,0)</f>
        <v/>
      </c>
    </row>
    <row r="22">
      <c r="A22" t="inlineStr">
        <is>
          <t>Dec</t>
        </is>
      </c>
      <c r="C22" t="n">
        <v>0.07000000000000001</v>
      </c>
      <c r="D22" s="10">
        <f>$B$10*C22</f>
        <v/>
      </c>
      <c r="E22" t="n">
        <v>0.6</v>
      </c>
      <c r="F22" s="11">
        <f>D22*E22</f>
        <v/>
      </c>
      <c r="G22" s="10" t="n">
        <v>27.5</v>
      </c>
      <c r="H22">
        <f>D22*$E$3</f>
        <v/>
      </c>
      <c r="I22">
        <f>D22*$E$4</f>
        <v/>
      </c>
      <c r="J22">
        <f>D22*$E$5</f>
        <v/>
      </c>
      <c r="K22">
        <f>D22*$E$6</f>
        <v/>
      </c>
      <c r="L22" s="11">
        <f>((H22*$D$3)+(I22*$D$4)+(J22*$D$5)+(K22*$D$6))/SUM($D$3:$D$6)</f>
        <v/>
      </c>
      <c r="M22" s="11">
        <f>L22*(1-$H$5)</f>
        <v/>
      </c>
      <c r="N22">
        <f>ROUND(0.99*(1-(IFERROR('PAGE 4'!$B$9,1.5)/100)*1.8)*(1-0.0035*G22)*(1-MAX(0,(IFERROR('PAGE2'!$D$15,1.2)-1.1)*0.15)),3)</f>
        <v/>
      </c>
      <c r="O22" s="11">
        <f>M22*$H$3*$N$22</f>
        <v/>
      </c>
      <c r="P22" t="n">
        <v>0.08500000000000001</v>
      </c>
      <c r="Q22" s="17">
        <f>$H$6*P22</f>
        <v/>
      </c>
      <c r="R22" s="17">
        <f>MIN(O22,Q22)</f>
        <v/>
      </c>
      <c r="S22" s="12">
        <f>MAX(O22-R22,0)</f>
        <v/>
      </c>
      <c r="T22" s="13">
        <f>O22/(M22*$H$3)</f>
        <v/>
      </c>
      <c r="U22" s="20">
        <f>MAX(Q22-R22,0)</f>
        <v/>
      </c>
    </row>
    <row r="23">
      <c r="A23" t="inlineStr">
        <is>
          <t>YEAR TOTAL</t>
        </is>
      </c>
      <c r="D23" s="10">
        <f>SUM(D11:D22)</f>
        <v/>
      </c>
      <c r="F23" s="11">
        <f>SUM(F11:F22)</f>
        <v/>
      </c>
      <c r="G23" s="11">
        <f>AVERAGE(G11:G22)</f>
        <v/>
      </c>
      <c r="H23">
        <f>D23*$E$3</f>
        <v/>
      </c>
      <c r="I23">
        <f>D23*$E$4</f>
        <v/>
      </c>
      <c r="J23">
        <f>D23*$E$5</f>
        <v/>
      </c>
      <c r="K23">
        <f>D23*$E$6</f>
        <v/>
      </c>
      <c r="L23" s="11">
        <f>((H23*$D$3)+(I23*$D$4)+(J23*$D$5)+(K23*$D$6))/SUM($D$3:$D$6)</f>
        <v/>
      </c>
      <c r="M23" s="11">
        <f>SUM(M11:M22)</f>
        <v/>
      </c>
      <c r="O23" s="11">
        <f>SUM(O11:O22)</f>
        <v/>
      </c>
      <c r="Q23" s="16">
        <f>SUM(Q11:Q22)</f>
        <v/>
      </c>
      <c r="R23" s="17">
        <f>SUM(R11:R22)</f>
        <v/>
      </c>
      <c r="S23" s="12">
        <f>SUM(S11:S22)</f>
        <v/>
      </c>
      <c r="T23" s="13">
        <f>SUM(O11:O22)/(SUM(M11:M22)*$H$3)*0.97</f>
        <v/>
      </c>
      <c r="U23" s="20">
        <f>SUM(U11:U22)</f>
        <v/>
      </c>
    </row>
    <row r="25">
      <c r="N25" t="inlineStr">
        <is>
          <t>System Uncertainty</t>
        </is>
      </c>
      <c r="O25" s="30">
        <f>SQRT(O4^2+O5^2+O6^2+O7^2+O8^2)</f>
        <v/>
      </c>
      <c r="P25" t="inlineStr">
        <is>
          <t>%</t>
        </is>
      </c>
      <c r="T25" t="inlineStr">
        <is>
          <t>bulan kering: ±0.45–0.50</t>
        </is>
      </c>
    </row>
    <row r="26">
      <c r="N26" t="inlineStr">
        <is>
          <t>Global Variability</t>
        </is>
      </c>
      <c r="O26" s="30">
        <f>SQRT(O3^2+O25^2)</f>
        <v/>
      </c>
      <c r="P26" t="inlineStr">
        <is>
          <t>%</t>
        </is>
      </c>
      <c r="T26" t="inlineStr">
        <is>
          <t>bulan hujan: ±0.55–0.65</t>
        </is>
      </c>
    </row>
    <row r="27">
      <c r="N27" t="inlineStr">
        <is>
          <t xml:space="preserve">Variability </t>
        </is>
      </c>
      <c r="O27" s="31">
        <f>O28*O26</f>
        <v/>
      </c>
      <c r="P27" t="inlineStr">
        <is>
          <t>kWh</t>
        </is>
      </c>
      <c r="T27" s="2" t="inlineStr">
        <is>
          <t>Lokasi</t>
        </is>
      </c>
      <c r="U27" s="4" t="inlineStr">
        <is>
          <t>GlobHor anggaran</t>
        </is>
      </c>
    </row>
    <row r="28" ht="30" customHeight="1" s="71">
      <c r="M28" s="1" t="n"/>
      <c r="N28" t="inlineStr">
        <is>
          <t>P50</t>
        </is>
      </c>
      <c r="O28" s="31">
        <f>O23</f>
        <v/>
      </c>
      <c r="P28" t="inlineStr">
        <is>
          <t>kWh/year</t>
        </is>
      </c>
      <c r="Q28" s="1" t="n"/>
      <c r="T28" s="5" t="inlineStr">
        <is>
          <t>Kuala Lumpur</t>
        </is>
      </c>
      <c r="U28" s="3" t="inlineStr">
        <is>
          <t>±1650–1700 kWh/m²/year</t>
        </is>
      </c>
    </row>
    <row r="29" ht="30" customHeight="1" s="71">
      <c r="N29" t="inlineStr">
        <is>
          <t>P75</t>
        </is>
      </c>
      <c r="O29" s="31">
        <f>O28-(0.674*O26*O28)</f>
        <v/>
      </c>
      <c r="P29" t="inlineStr">
        <is>
          <t>kWh/year</t>
        </is>
      </c>
      <c r="T29" s="5" t="inlineStr">
        <is>
          <t>Penang</t>
        </is>
      </c>
      <c r="U29" s="3" t="inlineStr">
        <is>
          <t>±1700–1800 kWh/m²/year</t>
        </is>
      </c>
    </row>
    <row r="30" ht="30" customHeight="1" s="71">
      <c r="N30" t="inlineStr">
        <is>
          <t>P90</t>
        </is>
      </c>
      <c r="O30" s="31">
        <f>O28-(1.282*O26*O28)</f>
        <v/>
      </c>
      <c r="P30" t="inlineStr">
        <is>
          <t>kWh/year</t>
        </is>
      </c>
      <c r="T30" s="5" t="inlineStr">
        <is>
          <t>Johor</t>
        </is>
      </c>
      <c r="U30" s="3" t="inlineStr">
        <is>
          <t>±1600–1700 kWh/m²/year</t>
        </is>
      </c>
    </row>
    <row r="31" ht="30" customHeight="1" s="71">
      <c r="T31" s="5" t="inlineStr">
        <is>
          <t>Sabah/Sarawak</t>
        </is>
      </c>
      <c r="U31" s="3" t="inlineStr">
        <is>
          <t>boleh berbeza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B29" sqref="B29"/>
    </sheetView>
  </sheetViews>
  <sheetFormatPr baseColWidth="8" defaultRowHeight="15"/>
  <cols>
    <col width="40" bestFit="1" customWidth="1" style="71" min="1" max="1"/>
    <col width="35" customWidth="1" style="71" min="2" max="2"/>
  </cols>
  <sheetData>
    <row r="1" ht="18.75" customHeight="1" s="71">
      <c r="A1" s="41" t="inlineStr">
        <is>
          <t>PV SYST GRAPH DATA MASTER</t>
        </is>
      </c>
      <c r="B1" s="41" t="n"/>
    </row>
    <row r="2">
      <c r="A2" s="42" t="n"/>
      <c r="B2" s="42" t="n"/>
    </row>
    <row r="3">
      <c r="A3" s="43" t="inlineStr">
        <is>
          <t>1. IRRADIATION INPUT</t>
        </is>
      </c>
      <c r="B3" s="42" t="n"/>
    </row>
    <row r="4">
      <c r="A4" s="42" t="inlineStr">
        <is>
          <t>Global Horizontal Irradiation (GlobHor)</t>
        </is>
      </c>
      <c r="B4" s="45">
        <f>GlobHor_DiffHor!D23</f>
        <v/>
      </c>
    </row>
    <row r="5">
      <c r="A5" s="42" t="inlineStr">
        <is>
          <t>Global Incident in Collector Plane (GlobInc)</t>
        </is>
      </c>
      <c r="B5" s="45">
        <f>GlobHor_DiffHor!L23</f>
        <v/>
      </c>
    </row>
    <row r="6">
      <c r="A6" s="42" t="inlineStr">
        <is>
          <t>Effective Irradiation (GlobEff)</t>
        </is>
      </c>
      <c r="B6" s="44">
        <f>GlobHor_DiffHor!M23</f>
        <v/>
      </c>
    </row>
    <row r="7">
      <c r="A7" s="42" t="n"/>
      <c r="B7" s="44" t="n"/>
    </row>
    <row r="8">
      <c r="A8" s="43" t="inlineStr">
        <is>
          <t>2. PV ENERGY LOSS DIAGRAM</t>
        </is>
      </c>
      <c r="B8" s="44" t="n"/>
    </row>
    <row r="9">
      <c r="A9" s="42" t="inlineStr">
        <is>
          <t>PV Nominal Energy at STC (kWh)</t>
        </is>
      </c>
      <c r="B9" s="45">
        <f>GlobHor_DiffHor!O23</f>
        <v/>
      </c>
    </row>
    <row r="10">
      <c r="A10" s="42" t="inlineStr">
        <is>
          <t>Module Degradation Loss (%)</t>
        </is>
      </c>
      <c r="B10" s="44" t="n">
        <v>1</v>
      </c>
    </row>
    <row r="11">
      <c r="A11" s="42" t="inlineStr">
        <is>
          <t>Temperature Loss (%)</t>
        </is>
      </c>
      <c r="B11" s="44" t="n"/>
    </row>
    <row r="12">
      <c r="A12" s="42" t="inlineStr">
        <is>
          <t>Mismatch Loss (%)</t>
        </is>
      </c>
      <c r="B12" s="44" t="n"/>
    </row>
    <row r="13">
      <c r="A13" s="42" t="inlineStr">
        <is>
          <t>DC Wiring Loss (%)</t>
        </is>
      </c>
      <c r="B13" s="44">
        <f>'PAGE 4'!B9</f>
        <v/>
      </c>
    </row>
    <row r="14">
      <c r="A14" t="inlineStr">
        <is>
          <t>Array Virtual Energy at MPP</t>
        </is>
      </c>
      <c r="B14" s="44">
        <f>B9*(1-8.5%)</f>
        <v/>
      </c>
    </row>
    <row r="15">
      <c r="A15" t="inlineStr">
        <is>
          <t>Available Energy at Inverter Output</t>
        </is>
      </c>
      <c r="B15" s="45">
        <f>B14*(1-0.6%)</f>
        <v/>
      </c>
    </row>
    <row r="16">
      <c r="A16" t="inlineStr">
        <is>
          <t>Final Energy After AC Loss</t>
        </is>
      </c>
      <c r="B16" s="45">
        <f>B15*(1-2.64%)</f>
        <v/>
      </c>
    </row>
    <row r="17">
      <c r="A17" s="42" t="inlineStr">
        <is>
          <t>Final Energy After AC Loss (kWh)</t>
        </is>
      </c>
      <c r="B17" s="44" t="n"/>
    </row>
    <row r="18">
      <c r="A18" s="43" t="n"/>
      <c r="B18" s="44" t="n"/>
    </row>
    <row r="19">
      <c r="A19" s="42" t="inlineStr">
        <is>
          <t>3. ENERGY BALANCE (NO BATTERY)</t>
        </is>
      </c>
      <c r="B19" s="44" t="n"/>
    </row>
    <row r="20">
      <c r="A20" s="42" t="inlineStr">
        <is>
          <t>Direct Use / E_Solar (kWh)</t>
        </is>
      </c>
      <c r="B20" s="45">
        <f>GlobHor_DiffHor!R23*0.2</f>
        <v/>
      </c>
    </row>
    <row r="21">
      <c r="A21" s="42" t="inlineStr">
        <is>
          <t>Grid Export / E_Grid (kWh)</t>
        </is>
      </c>
      <c r="B21" s="44">
        <f>GlobHor_DiffHor!S23</f>
        <v/>
      </c>
    </row>
    <row r="22">
      <c r="A22" s="42" t="inlineStr">
        <is>
          <t>Grid Import / EFrGrid (kWh)</t>
        </is>
      </c>
      <c r="B22" s="44">
        <f>GlobHor_DiffHor!U23</f>
        <v/>
      </c>
    </row>
    <row r="23">
      <c r="A23" s="42" t="n"/>
      <c r="B23" s="44" t="n"/>
    </row>
    <row r="24">
      <c r="A24" s="43" t="inlineStr">
        <is>
          <t>4. BATTERY OPTION</t>
        </is>
      </c>
      <c r="B24" s="44" t="n"/>
    </row>
    <row r="25">
      <c r="A25" s="42" t="inlineStr">
        <is>
          <t>Battery Capacity (kWh)</t>
        </is>
      </c>
      <c r="B25" s="44">
        <f>FORM!B80</f>
        <v/>
      </c>
    </row>
    <row r="26">
      <c r="A26" s="42" t="inlineStr">
        <is>
          <t>Usable Energy (kWh)</t>
        </is>
      </c>
      <c r="B26" s="44">
        <f>FORM!B81</f>
        <v/>
      </c>
    </row>
    <row r="27">
      <c r="A27" s="42" t="inlineStr">
        <is>
          <t>Max Charging Power (kW)</t>
        </is>
      </c>
      <c r="B27" s="44">
        <f>FORM!D77</f>
        <v/>
      </c>
    </row>
    <row r="28">
      <c r="A28" s="42" t="inlineStr">
        <is>
          <t>Max Discharging Power (kW)</t>
        </is>
      </c>
      <c r="B28" s="44">
        <f>FORM!D79</f>
        <v/>
      </c>
    </row>
    <row r="29">
      <c r="A29" s="42" t="inlineStr">
        <is>
          <t>Battery Stored Energy (kWh)</t>
        </is>
      </c>
      <c r="B29" s="45">
        <f>GlobHor_DiffHor!R23-B20</f>
        <v/>
      </c>
    </row>
    <row r="30">
      <c r="A30" s="42" t="inlineStr">
        <is>
          <t>Battery Discharged Energy (kWh)</t>
        </is>
      </c>
      <c r="B30" s="44" t="n"/>
    </row>
    <row r="31">
      <c r="A31" s="42" t="inlineStr">
        <is>
          <t>Battery Loss (kWh)</t>
        </is>
      </c>
      <c r="B31" s="44" t="n"/>
    </row>
    <row r="32">
      <c r="A32" s="43" t="n"/>
      <c r="B32" s="44" t="n"/>
    </row>
    <row r="33">
      <c r="A33" s="42" t="inlineStr">
        <is>
          <t>5. P50 P75 P90</t>
        </is>
      </c>
      <c r="B33" s="44" t="n"/>
    </row>
    <row r="34">
      <c r="A34" s="42" t="inlineStr">
        <is>
          <t>P50 Annual Production</t>
        </is>
      </c>
      <c r="B34" s="44">
        <f>FORM!B13</f>
        <v/>
      </c>
    </row>
    <row r="35">
      <c r="A35" s="42" t="inlineStr">
        <is>
          <t>P75</t>
        </is>
      </c>
      <c r="B35" s="44" t="n"/>
    </row>
    <row r="36">
      <c r="A36" s="42" t="inlineStr">
        <is>
          <t>P90</t>
        </is>
      </c>
      <c r="B36" s="44" t="n"/>
    </row>
    <row r="37">
      <c r="B37" s="2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C11" sqref="C11"/>
    </sheetView>
  </sheetViews>
  <sheetFormatPr baseColWidth="8" defaultRowHeight="15"/>
  <cols>
    <col width="15.42578125" bestFit="1" customWidth="1" style="71" min="1" max="1"/>
    <col width="34.85546875" bestFit="1" customWidth="1" style="71" min="2" max="3"/>
    <col width="23.5703125" bestFit="1" customWidth="1" style="71" min="4" max="4"/>
    <col width="15.85546875" bestFit="1" customWidth="1" style="71" min="5" max="5"/>
    <col width="15.85546875" bestFit="1" customWidth="1" style="71" min="8" max="8"/>
  </cols>
  <sheetData>
    <row r="1">
      <c r="A1" t="inlineStr">
        <is>
          <t>CLIENT NAME</t>
        </is>
      </c>
      <c r="B1" s="7" t="inlineStr">
        <is>
          <t>KHOR MEOW SWEE</t>
        </is>
      </c>
      <c r="C1" s="7" t="n"/>
    </row>
    <row r="2">
      <c r="A2" t="inlineStr">
        <is>
          <t>COORDINATE</t>
        </is>
      </c>
      <c r="B2" s="39" t="n">
        <v>5.182659</v>
      </c>
      <c r="C2" s="39" t="n">
        <v>100.480854</v>
      </c>
    </row>
    <row r="3">
      <c r="A3" t="inlineStr">
        <is>
          <t>SHORT ADDRESS</t>
        </is>
      </c>
      <c r="B3" s="7" t="inlineStr">
        <is>
          <t>19, LORONG CENDERAWASIH INDAH 4</t>
        </is>
      </c>
      <c r="C3" s="7" t="n"/>
    </row>
    <row r="5">
      <c r="A5" s="1" t="inlineStr">
        <is>
          <t>YEAR INPUT</t>
        </is>
      </c>
      <c r="B5" s="65" t="n">
        <v>1800</v>
      </c>
    </row>
    <row r="6">
      <c r="A6" s="38" t="inlineStr">
        <is>
          <t>Annual Load</t>
        </is>
      </c>
      <c r="B6" s="66" t="n">
        <v>9600</v>
      </c>
    </row>
    <row r="8">
      <c r="A8" t="inlineStr">
        <is>
          <t xml:space="preserve">NOTES </t>
        </is>
      </c>
    </row>
    <row r="9">
      <c r="A9" s="57" t="inlineStr">
        <is>
          <t>Lokasi</t>
        </is>
      </c>
      <c r="B9" s="57" t="inlineStr">
        <is>
          <t>GlobHor anggaran</t>
        </is>
      </c>
    </row>
    <row r="10" ht="30" customHeight="1" s="71">
      <c r="A10" s="58" t="inlineStr">
        <is>
          <t>Selangor / Kuala Lumpur</t>
        </is>
      </c>
      <c r="B10" s="58" t="inlineStr">
        <is>
          <t>±1650–1700 kWh/m²/year</t>
        </is>
      </c>
    </row>
    <row r="11">
      <c r="A11" s="58" t="inlineStr">
        <is>
          <t>Utara</t>
        </is>
      </c>
      <c r="B11" s="58" t="inlineStr">
        <is>
          <t>±1700–1800 kWh/m²/year</t>
        </is>
      </c>
    </row>
    <row r="12">
      <c r="A12" s="58" t="inlineStr">
        <is>
          <t>Selatan</t>
        </is>
      </c>
      <c r="B12" s="58" t="inlineStr">
        <is>
          <t>±1600–1700 kWh/m²/year</t>
        </is>
      </c>
    </row>
    <row r="13">
      <c r="A13" s="58" t="inlineStr">
        <is>
          <t>Sabah/Sarawak</t>
        </is>
      </c>
      <c r="B13" s="58" t="inlineStr">
        <is>
          <t>boleh berbeza</t>
        </is>
      </c>
    </row>
    <row r="15" ht="30" customHeight="1" s="71">
      <c r="A15" s="5" t="inlineStr">
        <is>
          <t>Apartment / kecil</t>
        </is>
      </c>
      <c r="B15" s="5" t="inlineStr">
        <is>
          <t>3,000 – 5,000 kWh/year</t>
        </is>
      </c>
      <c r="C15" s="73" t="inlineStr">
        <is>
          <t>HIS MODEL</t>
        </is>
      </c>
    </row>
    <row r="16" ht="30" customHeight="1" s="71">
      <c r="A16" s="5" t="inlineStr">
        <is>
          <t>Rumah biasa 1 tingkat</t>
        </is>
      </c>
      <c r="B16" s="5" t="inlineStr">
        <is>
          <t>6,000 – 8,000 kWh/year</t>
        </is>
      </c>
    </row>
    <row r="17" ht="30" customHeight="1" s="71">
      <c r="A17" s="5" t="inlineStr">
        <is>
          <t>Rumah teres besar</t>
        </is>
      </c>
      <c r="B17" s="5" t="inlineStr">
        <is>
          <t>8,000 – 12,000 kWh/year</t>
        </is>
      </c>
      <c r="C17" s="73" t="inlineStr">
        <is>
          <t>HIT MODEL</t>
        </is>
      </c>
    </row>
    <row r="18">
      <c r="A18" s="5" t="inlineStr">
        <is>
          <t>Semi-D</t>
        </is>
      </c>
      <c r="B18" s="5" t="inlineStr">
        <is>
          <t>12,000 – 18,000 kWh/year</t>
        </is>
      </c>
    </row>
    <row r="19">
      <c r="A19" s="5" t="inlineStr">
        <is>
          <t>Banglo</t>
        </is>
      </c>
      <c r="B19" s="5" t="inlineStr">
        <is>
          <t>18,000 – 30,000 kWh/year</t>
        </is>
      </c>
    </row>
  </sheetData>
  <mergeCells count="2">
    <mergeCell ref="C15:C16"/>
    <mergeCell ref="C17:C19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F18" sqref="F18"/>
    </sheetView>
  </sheetViews>
  <sheetFormatPr baseColWidth="8" defaultRowHeight="15"/>
  <cols>
    <col width="25.140625" bestFit="1" customWidth="1" style="71" min="1" max="1"/>
    <col width="18.7109375" bestFit="1" customWidth="1" style="71" min="3" max="3"/>
    <col width="16" bestFit="1" customWidth="1" style="71" min="5" max="5"/>
    <col width="15.85546875" bestFit="1" customWidth="1" style="71" min="8" max="8"/>
  </cols>
  <sheetData>
    <row r="1" ht="18.75" customHeight="1" s="71">
      <c r="A1" s="51" t="inlineStr">
        <is>
          <t xml:space="preserve">PROJECT SUMMARY </t>
        </is>
      </c>
    </row>
    <row r="2">
      <c r="A2" t="inlineStr">
        <is>
          <t>GEOGRAPHICAL SITE</t>
        </is>
      </c>
      <c r="B2">
        <f>'PAGE 1'!B3</f>
        <v/>
      </c>
    </row>
    <row r="3">
      <c r="A3" t="inlineStr">
        <is>
          <t>WEARTHER DATA</t>
        </is>
      </c>
      <c r="B3">
        <f>'PAGE 1'!B3</f>
        <v/>
      </c>
    </row>
    <row r="4">
      <c r="A4" t="inlineStr">
        <is>
          <t xml:space="preserve">LATITUDE </t>
        </is>
      </c>
      <c r="B4" s="70">
        <f>'PAGE 1'!B2</f>
        <v/>
      </c>
    </row>
    <row r="5">
      <c r="A5" s="54" t="inlineStr">
        <is>
          <t>LONGITUDE</t>
        </is>
      </c>
      <c r="B5" s="33">
        <f>'PAGE 1'!C2</f>
        <v/>
      </c>
      <c r="C5" s="1" t="n"/>
      <c r="D5" s="1" t="n"/>
      <c r="E5" s="34" t="n"/>
      <c r="G5" s="34" t="n"/>
    </row>
    <row r="6">
      <c r="E6" s="70" t="n"/>
      <c r="F6" s="70" t="n"/>
      <c r="G6" s="70" t="n"/>
      <c r="H6" s="70" t="n"/>
    </row>
    <row r="7" ht="18.75" customHeight="1" s="71">
      <c r="A7" s="51" t="inlineStr">
        <is>
          <t>SYSTEM SUMMARY</t>
        </is>
      </c>
    </row>
    <row r="8">
      <c r="A8" t="inlineStr">
        <is>
          <t>ORIENTATION #1</t>
        </is>
      </c>
      <c r="C8" t="inlineStr">
        <is>
          <t>ORIENTATION #2</t>
        </is>
      </c>
      <c r="E8" t="inlineStr">
        <is>
          <t>ORIENTATION #3</t>
        </is>
      </c>
      <c r="H8" t="inlineStr">
        <is>
          <t>ORIENTATION #4</t>
        </is>
      </c>
    </row>
    <row r="9">
      <c r="A9" t="inlineStr">
        <is>
          <t>TILT/AZIMUTH</t>
        </is>
      </c>
      <c r="B9" s="7" t="inlineStr">
        <is>
          <t>20/180°</t>
        </is>
      </c>
      <c r="C9" t="inlineStr">
        <is>
          <t>TILT/AZIMUTH</t>
        </is>
      </c>
      <c r="D9" s="7" t="inlineStr">
        <is>
          <t>20/180°</t>
        </is>
      </c>
      <c r="E9" t="inlineStr">
        <is>
          <t>TILT/AZIMUTH</t>
        </is>
      </c>
      <c r="F9" s="7" t="inlineStr">
        <is>
          <t>20/180°</t>
        </is>
      </c>
      <c r="H9" t="inlineStr">
        <is>
          <t>TILT/AZIMUTH</t>
        </is>
      </c>
      <c r="I9" s="7" t="inlineStr">
        <is>
          <t>20/180°</t>
        </is>
      </c>
    </row>
    <row r="11">
      <c r="A11" t="inlineStr">
        <is>
          <t xml:space="preserve">System information </t>
        </is>
      </c>
    </row>
    <row r="12">
      <c r="A12" s="53" t="inlineStr">
        <is>
          <t>PV Array</t>
        </is>
      </c>
      <c r="C12" s="53" t="inlineStr">
        <is>
          <t xml:space="preserve">Inverters </t>
        </is>
      </c>
      <c r="E12" s="53" t="inlineStr">
        <is>
          <t xml:space="preserve">Battery pack </t>
        </is>
      </c>
    </row>
    <row r="13">
      <c r="A13" t="inlineStr">
        <is>
          <t>Nb.of modules</t>
        </is>
      </c>
      <c r="B13" s="7" t="n">
        <v>11</v>
      </c>
      <c r="C13" t="inlineStr">
        <is>
          <t xml:space="preserve">Nb.of units </t>
        </is>
      </c>
      <c r="D13" s="70" t="n">
        <v>1</v>
      </c>
      <c r="E13" s="70" t="inlineStr">
        <is>
          <t xml:space="preserve">Nb. Of units </t>
        </is>
      </c>
      <c r="F13" s="39" t="n">
        <v>1</v>
      </c>
    </row>
    <row r="14">
      <c r="A14" t="inlineStr">
        <is>
          <t xml:space="preserve">Pnom total </t>
        </is>
      </c>
      <c r="B14">
        <f>B13*'PAGE 3'!B17/1000</f>
        <v/>
      </c>
      <c r="C14" t="inlineStr">
        <is>
          <t>Total power</t>
        </is>
      </c>
      <c r="D14" s="39" t="n">
        <v>5</v>
      </c>
      <c r="E14" s="70" t="inlineStr">
        <is>
          <t xml:space="preserve">Voltage </t>
        </is>
      </c>
      <c r="F14" s="70" t="n">
        <v>51</v>
      </c>
    </row>
    <row r="15">
      <c r="C15" t="inlineStr">
        <is>
          <t xml:space="preserve"> Pnom ratio</t>
        </is>
      </c>
      <c r="D15" s="49">
        <f>B14/D14</f>
        <v/>
      </c>
      <c r="E15" s="70" t="inlineStr">
        <is>
          <t xml:space="preserve">Capacity </t>
        </is>
      </c>
      <c r="F15" s="70">
        <f>F13*314</f>
        <v/>
      </c>
    </row>
    <row r="17" ht="18.75" customHeight="1" s="71">
      <c r="A17" s="51" t="inlineStr">
        <is>
          <t xml:space="preserve">Results summary </t>
        </is>
      </c>
    </row>
    <row r="18">
      <c r="A18" t="inlineStr">
        <is>
          <t xml:space="preserve">Produced Energy </t>
        </is>
      </c>
      <c r="B18" s="59">
        <f>GlobHor_DiffHor!O23</f>
        <v/>
      </c>
      <c r="C18" t="inlineStr">
        <is>
          <t xml:space="preserve">Specific production </t>
        </is>
      </c>
      <c r="D18" s="59">
        <f>B18/PAGE2!B14</f>
        <v/>
      </c>
      <c r="E18" t="inlineStr">
        <is>
          <t xml:space="preserve">Perf. Ratio PR </t>
        </is>
      </c>
      <c r="F18" s="28">
        <f>GlobHor_DiffHor!T23*100</f>
        <v/>
      </c>
    </row>
    <row r="19">
      <c r="A19" t="inlineStr">
        <is>
          <t xml:space="preserve">Used Energy </t>
        </is>
      </c>
      <c r="B19" s="59">
        <f>GlobHor_DiffHor!Q23</f>
        <v/>
      </c>
      <c r="E19" t="inlineStr">
        <is>
          <t xml:space="preserve">Solar Fraction SF </t>
        </is>
      </c>
      <c r="F19" s="28">
        <f>GlobHor_DiffHor!R23/GlobHor_DiffHor!Q23*100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topLeftCell="A18" workbookViewId="0">
      <selection activeCell="B52" sqref="B52"/>
    </sheetView>
  </sheetViews>
  <sheetFormatPr baseColWidth="8" defaultRowHeight="15"/>
  <cols>
    <col width="28.5703125" bestFit="1" customWidth="1" style="71" min="1" max="1"/>
    <col width="30.28515625" bestFit="1" customWidth="1" style="71" min="2" max="2"/>
    <col width="28.140625" bestFit="1" customWidth="1" style="71" min="3" max="3"/>
    <col width="10" bestFit="1" customWidth="1" style="71" min="4" max="4"/>
    <col width="15.85546875" bestFit="1" customWidth="1" style="71" min="5" max="5"/>
    <col width="15.85546875" bestFit="1" customWidth="1" style="71" min="8" max="8"/>
  </cols>
  <sheetData>
    <row r="1" ht="18.75" customHeight="1" s="71">
      <c r="A1" s="51" t="inlineStr">
        <is>
          <t>GENERAL PARAMETERS</t>
        </is>
      </c>
    </row>
    <row r="2">
      <c r="A2" s="53" t="inlineStr">
        <is>
          <t>ORIENTATION #1</t>
        </is>
      </c>
      <c r="B2" s="53" t="n"/>
      <c r="C2" s="53" t="inlineStr">
        <is>
          <t>ORIENTATION #2</t>
        </is>
      </c>
      <c r="D2" s="53" t="n"/>
      <c r="E2" s="53" t="inlineStr">
        <is>
          <t>ORIENTATION #3</t>
        </is>
      </c>
      <c r="F2" s="53" t="n"/>
      <c r="G2" s="53" t="n"/>
      <c r="H2" s="53" t="inlineStr">
        <is>
          <t>ORIENTATION #4</t>
        </is>
      </c>
    </row>
    <row r="3">
      <c r="A3" t="inlineStr">
        <is>
          <t>TILT/AZIMUTH</t>
        </is>
      </c>
      <c r="B3">
        <f>PAGE2!B9</f>
        <v/>
      </c>
      <c r="C3" t="inlineStr">
        <is>
          <t>TILT/AZIMUTH</t>
        </is>
      </c>
      <c r="D3">
        <f>PAGE2!D9</f>
        <v/>
      </c>
      <c r="E3" t="inlineStr">
        <is>
          <t>TILT/AZIMUTH</t>
        </is>
      </c>
      <c r="F3">
        <f>PAGE2!F9</f>
        <v/>
      </c>
      <c r="H3" t="inlineStr">
        <is>
          <t>TILT/AZIMUTH</t>
        </is>
      </c>
      <c r="I3">
        <f>PAGE2!I9</f>
        <v/>
      </c>
    </row>
    <row r="5">
      <c r="A5" s="53" t="inlineStr">
        <is>
          <t>Self Consumption</t>
        </is>
      </c>
    </row>
    <row r="6">
      <c r="A6" t="inlineStr">
        <is>
          <t>Jan</t>
        </is>
      </c>
      <c r="B6">
        <f>GlobHor_DiffHor!Q11</f>
        <v/>
      </c>
      <c r="C6" t="inlineStr">
        <is>
          <t>Jun</t>
        </is>
      </c>
      <c r="D6">
        <f>GlobHor_DiffHor!Q16</f>
        <v/>
      </c>
      <c r="E6" t="inlineStr">
        <is>
          <t>Nov.</t>
        </is>
      </c>
      <c r="F6">
        <f>GlobHor_DiffHor!Q21</f>
        <v/>
      </c>
    </row>
    <row r="7">
      <c r="A7" t="inlineStr">
        <is>
          <t xml:space="preserve">Feb </t>
        </is>
      </c>
      <c r="B7">
        <f>GlobHor_DiffHor!Q12</f>
        <v/>
      </c>
      <c r="C7" t="inlineStr">
        <is>
          <t>July</t>
        </is>
      </c>
      <c r="D7">
        <f>GlobHor_DiffHor!Q17</f>
        <v/>
      </c>
      <c r="E7" t="inlineStr">
        <is>
          <t>Dec.</t>
        </is>
      </c>
      <c r="F7">
        <f>GlobHor_DiffHor!Q22</f>
        <v/>
      </c>
    </row>
    <row r="8">
      <c r="A8" t="inlineStr">
        <is>
          <t>March</t>
        </is>
      </c>
      <c r="B8">
        <f>GlobHor_DiffHor!Q13</f>
        <v/>
      </c>
      <c r="C8" t="inlineStr">
        <is>
          <t>Aug.</t>
        </is>
      </c>
      <c r="D8">
        <f>GlobHor_DiffHor!Q18</f>
        <v/>
      </c>
      <c r="E8" s="38" t="inlineStr">
        <is>
          <t>Year</t>
        </is>
      </c>
      <c r="F8">
        <f>GlobHor_DiffHor!Q23</f>
        <v/>
      </c>
    </row>
    <row r="9">
      <c r="A9" t="inlineStr">
        <is>
          <t xml:space="preserve">April </t>
        </is>
      </c>
      <c r="B9">
        <f>GlobHor_DiffHor!Q14</f>
        <v/>
      </c>
      <c r="C9" t="inlineStr">
        <is>
          <t>Sept</t>
        </is>
      </c>
      <c r="D9">
        <f>GlobHor_DiffHor!Q19</f>
        <v/>
      </c>
    </row>
    <row r="10">
      <c r="A10" t="inlineStr">
        <is>
          <t>May</t>
        </is>
      </c>
      <c r="B10">
        <f>GlobHor_DiffHor!Q15</f>
        <v/>
      </c>
      <c r="C10" t="inlineStr">
        <is>
          <t>Oct</t>
        </is>
      </c>
      <c r="D10">
        <f>GlobHor_DiffHor!Q20</f>
        <v/>
      </c>
    </row>
    <row r="12" ht="18.75" customHeight="1" s="71">
      <c r="A12" s="51" t="inlineStr">
        <is>
          <t>PV Array Characteristics</t>
        </is>
      </c>
    </row>
    <row r="13">
      <c r="A13" s="53" t="inlineStr">
        <is>
          <t>PV Module</t>
        </is>
      </c>
      <c r="C13" s="53" t="inlineStr">
        <is>
          <t xml:space="preserve">Inverter </t>
        </is>
      </c>
    </row>
    <row r="14">
      <c r="A14" t="inlineStr">
        <is>
          <t xml:space="preserve">Manufacturer </t>
        </is>
      </c>
      <c r="B14" s="7" t="inlineStr">
        <is>
          <t>Astronergy</t>
        </is>
      </c>
      <c r="C14" t="inlineStr">
        <is>
          <t xml:space="preserve">Manufacturer </t>
        </is>
      </c>
      <c r="D14" t="inlineStr">
        <is>
          <t>Hoymiles</t>
        </is>
      </c>
    </row>
    <row r="15">
      <c r="A15" t="inlineStr">
        <is>
          <t xml:space="preserve">Model </t>
        </is>
      </c>
      <c r="B15" s="7" t="inlineStr">
        <is>
          <t>CHSMM66RN(DG)/F-BH-630</t>
        </is>
      </c>
      <c r="C15" t="inlineStr">
        <is>
          <t xml:space="preserve">Model </t>
        </is>
      </c>
      <c r="D15" s="7" t="inlineStr">
        <is>
          <t>HIS-5L-G3</t>
        </is>
      </c>
    </row>
    <row r="16">
      <c r="A16" t="inlineStr">
        <is>
          <t>Custom parameters definition</t>
        </is>
      </c>
      <c r="B16" s="7" t="inlineStr">
        <is>
          <t>CHSMM66RN(DG)/F-BH-630.PAN</t>
        </is>
      </c>
    </row>
    <row r="17">
      <c r="A17" t="inlineStr">
        <is>
          <t>Unit Nom. Power</t>
        </is>
      </c>
      <c r="B17" s="39" t="n">
        <v>630</v>
      </c>
      <c r="C17" t="inlineStr">
        <is>
          <t>Unit Nom. Power</t>
        </is>
      </c>
      <c r="D17" s="49">
        <f>PAGE2!D14</f>
        <v/>
      </c>
    </row>
    <row r="19">
      <c r="A19" s="52" t="inlineStr">
        <is>
          <t>Array #1 - PV Array</t>
        </is>
      </c>
    </row>
    <row r="20">
      <c r="A20" t="inlineStr">
        <is>
          <t>Orientation</t>
        </is>
      </c>
      <c r="B20" s="70" t="n">
        <v>1</v>
      </c>
      <c r="C20" s="70" t="n"/>
      <c r="D20" s="70" t="n"/>
    </row>
    <row r="21">
      <c r="A21" t="inlineStr">
        <is>
          <t>Tilt/Azimuth</t>
        </is>
      </c>
      <c r="B21" s="70">
        <f>B3</f>
        <v/>
      </c>
      <c r="C21" s="70" t="n"/>
      <c r="D21" s="70" t="n"/>
    </row>
    <row r="22">
      <c r="A22" t="inlineStr">
        <is>
          <t>Number of PV modules</t>
        </is>
      </c>
      <c r="B22" s="39" t="n">
        <v>7</v>
      </c>
      <c r="C22" s="70" t="inlineStr">
        <is>
          <t>Number of inverters</t>
        </is>
      </c>
      <c r="D22" s="62">
        <f>FORM!D31</f>
        <v/>
      </c>
      <c r="E22" s="63">
        <f>FORM!E31</f>
        <v/>
      </c>
    </row>
    <row r="23">
      <c r="A23" t="inlineStr">
        <is>
          <t>Nominal (STC)</t>
        </is>
      </c>
      <c r="B23" s="70">
        <f>B22*B17</f>
        <v/>
      </c>
      <c r="C23" s="70" t="inlineStr">
        <is>
          <t>Total power</t>
        </is>
      </c>
      <c r="D23" s="60">
        <f>D17*D22/100</f>
        <v/>
      </c>
    </row>
    <row r="24">
      <c r="A24" t="inlineStr">
        <is>
          <t>Modules</t>
        </is>
      </c>
      <c r="B24" s="70">
        <f>B22</f>
        <v/>
      </c>
      <c r="C24" s="70" t="n"/>
      <c r="D24" s="64" t="inlineStr">
        <is>
          <t>HIS Model</t>
        </is>
      </c>
      <c r="E24" s="53" t="inlineStr">
        <is>
          <t>HIT Model</t>
        </is>
      </c>
    </row>
    <row r="25">
      <c r="A25" s="38" t="inlineStr">
        <is>
          <t>At operating cond. (50°C)</t>
        </is>
      </c>
      <c r="B25" s="70" t="n"/>
      <c r="C25" s="70" t="inlineStr">
        <is>
          <t xml:space="preserve">Operating voltage </t>
        </is>
      </c>
      <c r="D25" s="70" t="inlineStr">
        <is>
          <t>90-550</t>
        </is>
      </c>
      <c r="E25" s="70" t="inlineStr">
        <is>
          <t>150-990</t>
        </is>
      </c>
    </row>
    <row r="26">
      <c r="A26" t="inlineStr">
        <is>
          <t>Pmpp</t>
        </is>
      </c>
      <c r="B26" s="70">
        <f>B22*588</f>
        <v/>
      </c>
      <c r="C26" s="70" t="inlineStr">
        <is>
          <t>Pnom ratio</t>
        </is>
      </c>
      <c r="D26" s="61">
        <f>PAGE2!D15</f>
        <v/>
      </c>
      <c r="E26" s="61">
        <f>PAGE2!D15</f>
        <v/>
      </c>
    </row>
    <row r="27">
      <c r="A27" t="inlineStr">
        <is>
          <t>U mpp</t>
        </is>
      </c>
      <c r="B27" s="47">
        <f>B22*37.7</f>
        <v/>
      </c>
      <c r="C27" s="70" t="n"/>
      <c r="D27" s="70" t="n"/>
    </row>
    <row r="28">
      <c r="A28" t="inlineStr">
        <is>
          <t>I mpp</t>
        </is>
      </c>
      <c r="B28" s="47">
        <f>IFERROR(B26/B27,0)</f>
        <v/>
      </c>
      <c r="C28" s="70" t="n"/>
      <c r="D28" s="70" t="n"/>
    </row>
    <row r="29">
      <c r="A29" s="52" t="inlineStr">
        <is>
          <t>Array #2- PV Array</t>
        </is>
      </c>
      <c r="B29" s="70" t="n"/>
      <c r="C29" s="70" t="n"/>
      <c r="D29" s="70" t="n"/>
    </row>
    <row r="30">
      <c r="A30" t="inlineStr">
        <is>
          <t>Orientation</t>
        </is>
      </c>
      <c r="B30" s="70" t="n">
        <v>1</v>
      </c>
      <c r="C30" s="70" t="n"/>
      <c r="D30" s="70" t="n"/>
    </row>
    <row r="31">
      <c r="A31" t="inlineStr">
        <is>
          <t>Tilt/Azimuth</t>
        </is>
      </c>
      <c r="B31" s="70">
        <f>D3</f>
        <v/>
      </c>
      <c r="C31" s="70" t="n"/>
      <c r="D31" s="70" t="n"/>
    </row>
    <row r="32">
      <c r="A32" t="inlineStr">
        <is>
          <t>Number of PV modules</t>
        </is>
      </c>
      <c r="B32" s="39" t="n">
        <v>7</v>
      </c>
      <c r="C32" s="70" t="inlineStr">
        <is>
          <t>Number of inverters</t>
        </is>
      </c>
      <c r="D32" s="62">
        <f>FORM!D41</f>
        <v/>
      </c>
      <c r="E32" s="63">
        <f>FORM!E41</f>
        <v/>
      </c>
    </row>
    <row r="33">
      <c r="A33" t="inlineStr">
        <is>
          <t>Nominal (STC)</t>
        </is>
      </c>
      <c r="B33" s="70">
        <f>B32*B17</f>
        <v/>
      </c>
      <c r="C33" s="70" t="inlineStr">
        <is>
          <t>Total power</t>
        </is>
      </c>
      <c r="D33" s="60">
        <f>D17*D32/100</f>
        <v/>
      </c>
    </row>
    <row r="34">
      <c r="A34" t="inlineStr">
        <is>
          <t>Modules</t>
        </is>
      </c>
      <c r="B34" s="70">
        <f>B32</f>
        <v/>
      </c>
      <c r="C34" s="70" t="n"/>
      <c r="D34" s="64" t="inlineStr">
        <is>
          <t>HIS Model</t>
        </is>
      </c>
      <c r="E34" s="53" t="inlineStr">
        <is>
          <t>HIT Model</t>
        </is>
      </c>
    </row>
    <row r="35">
      <c r="A35" s="38" t="inlineStr">
        <is>
          <t>At operating cond. (50°C)</t>
        </is>
      </c>
      <c r="B35" s="70" t="n"/>
      <c r="C35" s="70" t="inlineStr">
        <is>
          <t xml:space="preserve">Operating voltage </t>
        </is>
      </c>
      <c r="D35" s="70" t="inlineStr">
        <is>
          <t>90-550</t>
        </is>
      </c>
      <c r="E35" s="70" t="inlineStr">
        <is>
          <t>150-990</t>
        </is>
      </c>
    </row>
    <row r="36">
      <c r="A36" t="inlineStr">
        <is>
          <t>Pmpp</t>
        </is>
      </c>
      <c r="B36" s="70">
        <f>B32*588</f>
        <v/>
      </c>
      <c r="C36" s="70" t="inlineStr">
        <is>
          <t>Pnom ratio</t>
        </is>
      </c>
      <c r="D36" s="61">
        <f>PAGE2!D15</f>
        <v/>
      </c>
      <c r="E36" s="61">
        <f>PAGE2!D15</f>
        <v/>
      </c>
    </row>
    <row r="37">
      <c r="A37" t="inlineStr">
        <is>
          <t>U mpp</t>
        </is>
      </c>
      <c r="B37" s="47">
        <f>B32*37.7</f>
        <v/>
      </c>
      <c r="C37" s="70" t="n"/>
      <c r="D37" s="70" t="n"/>
    </row>
    <row r="38">
      <c r="A38" t="inlineStr">
        <is>
          <t>I mpp</t>
        </is>
      </c>
      <c r="B38" s="47">
        <f>IFERROR(B36/B37,0)</f>
        <v/>
      </c>
      <c r="C38" s="70" t="n"/>
      <c r="D38" s="70" t="n"/>
    </row>
    <row r="39">
      <c r="A39" s="52" t="inlineStr">
        <is>
          <t>Array #3- PV Array</t>
        </is>
      </c>
      <c r="B39" s="70" t="n"/>
      <c r="C39" s="70" t="n"/>
      <c r="D39" s="70" t="n"/>
    </row>
    <row r="40">
      <c r="A40" t="inlineStr">
        <is>
          <t>Orientation</t>
        </is>
      </c>
      <c r="B40" s="70" t="n">
        <v>1</v>
      </c>
      <c r="C40" s="70" t="n"/>
      <c r="D40" s="70" t="n"/>
    </row>
    <row r="41">
      <c r="A41" t="inlineStr">
        <is>
          <t>Tilt/Azimuth</t>
        </is>
      </c>
      <c r="B41" s="70">
        <f>F3</f>
        <v/>
      </c>
      <c r="C41" s="70" t="n"/>
      <c r="D41" s="70" t="n"/>
    </row>
    <row r="42">
      <c r="A42" t="inlineStr">
        <is>
          <t>Number of PV modules</t>
        </is>
      </c>
      <c r="B42" s="39" t="n">
        <v>7</v>
      </c>
      <c r="C42" s="70" t="inlineStr">
        <is>
          <t>Number of inverters</t>
        </is>
      </c>
      <c r="D42" s="62">
        <f>FORM!D51</f>
        <v/>
      </c>
      <c r="E42" s="63">
        <f>FORM!E51</f>
        <v/>
      </c>
    </row>
    <row r="43">
      <c r="A43" t="inlineStr">
        <is>
          <t>Nominal (STC)</t>
        </is>
      </c>
      <c r="B43" s="70">
        <f>B42*B17</f>
        <v/>
      </c>
      <c r="C43" s="70" t="inlineStr">
        <is>
          <t>Total power</t>
        </is>
      </c>
      <c r="D43" s="60">
        <f>D17*D42/100</f>
        <v/>
      </c>
    </row>
    <row r="44">
      <c r="A44" t="inlineStr">
        <is>
          <t>Modules</t>
        </is>
      </c>
      <c r="B44" s="70">
        <f>B42</f>
        <v/>
      </c>
      <c r="C44" s="70" t="n"/>
      <c r="D44" s="64" t="inlineStr">
        <is>
          <t>HIS Model</t>
        </is>
      </c>
      <c r="E44" s="53" t="inlineStr">
        <is>
          <t>HIT Model</t>
        </is>
      </c>
    </row>
    <row r="45">
      <c r="A45" s="38" t="inlineStr">
        <is>
          <t>At operating cond. (50°C)</t>
        </is>
      </c>
      <c r="B45" s="70" t="n"/>
      <c r="C45" s="70" t="inlineStr">
        <is>
          <t xml:space="preserve">Operating voltage </t>
        </is>
      </c>
      <c r="D45" s="70" t="inlineStr">
        <is>
          <t>90-550</t>
        </is>
      </c>
      <c r="E45" s="70" t="inlineStr">
        <is>
          <t>150-990</t>
        </is>
      </c>
    </row>
    <row r="46">
      <c r="A46" t="inlineStr">
        <is>
          <t>Pmpp</t>
        </is>
      </c>
      <c r="B46" s="70">
        <f>B42*588</f>
        <v/>
      </c>
      <c r="C46" s="70" t="inlineStr">
        <is>
          <t>Pnom ratio</t>
        </is>
      </c>
      <c r="D46" s="61">
        <f>PAGE2!D15</f>
        <v/>
      </c>
      <c r="E46" s="61">
        <f>PAGE2!D15</f>
        <v/>
      </c>
    </row>
    <row r="47">
      <c r="A47" t="inlineStr">
        <is>
          <t>U mpp</t>
        </is>
      </c>
      <c r="B47" s="47">
        <f>B42*37.7</f>
        <v/>
      </c>
      <c r="C47" s="70" t="n"/>
      <c r="D47" s="70" t="n"/>
    </row>
    <row r="48">
      <c r="A48" t="inlineStr">
        <is>
          <t>I mpp</t>
        </is>
      </c>
      <c r="B48" s="47">
        <f>IFERROR(B46/B47,0)</f>
        <v/>
      </c>
      <c r="C48" s="70" t="n"/>
      <c r="D48" s="70" t="n"/>
    </row>
    <row r="49">
      <c r="A49" s="52" t="inlineStr">
        <is>
          <t>Array #4- PV Array</t>
        </is>
      </c>
      <c r="B49" s="70" t="n"/>
      <c r="C49" s="70" t="n"/>
      <c r="D49" s="70" t="n"/>
    </row>
    <row r="50">
      <c r="A50" t="inlineStr">
        <is>
          <t>Orientation</t>
        </is>
      </c>
      <c r="B50" s="70" t="n">
        <v>1</v>
      </c>
      <c r="C50" s="70" t="n"/>
      <c r="D50" s="70" t="n"/>
    </row>
    <row r="51">
      <c r="A51" t="inlineStr">
        <is>
          <t>Tilt/Azimuth</t>
        </is>
      </c>
      <c r="B51" s="70">
        <f>I3</f>
        <v/>
      </c>
      <c r="C51" s="70" t="n"/>
      <c r="D51" s="70" t="n"/>
    </row>
    <row r="52">
      <c r="A52" t="inlineStr">
        <is>
          <t>Number of PV modules</t>
        </is>
      </c>
      <c r="B52" s="39" t="n">
        <v>7</v>
      </c>
      <c r="C52" s="70" t="inlineStr">
        <is>
          <t>Number of inverters</t>
        </is>
      </c>
      <c r="D52" s="62">
        <f>FORM!D61</f>
        <v/>
      </c>
      <c r="E52" s="63">
        <f>FORM!E61</f>
        <v/>
      </c>
    </row>
    <row r="53">
      <c r="A53" t="inlineStr">
        <is>
          <t>Nominal (STC)</t>
        </is>
      </c>
      <c r="B53" s="70">
        <f>B52*B17</f>
        <v/>
      </c>
      <c r="C53" s="70" t="inlineStr">
        <is>
          <t>Total power</t>
        </is>
      </c>
      <c r="D53" s="60">
        <f>D17*D52/100</f>
        <v/>
      </c>
    </row>
    <row r="54">
      <c r="A54" t="inlineStr">
        <is>
          <t>Modules</t>
        </is>
      </c>
      <c r="B54" s="70">
        <f>B52</f>
        <v/>
      </c>
      <c r="C54" s="70" t="n"/>
      <c r="D54" s="64" t="inlineStr">
        <is>
          <t>HIS Model</t>
        </is>
      </c>
      <c r="E54" s="53" t="inlineStr">
        <is>
          <t>HIT Model</t>
        </is>
      </c>
    </row>
    <row r="55">
      <c r="A55" s="38" t="inlineStr">
        <is>
          <t>At operating cond. (50°C)</t>
        </is>
      </c>
      <c r="B55" s="70" t="n"/>
      <c r="C55" s="70" t="inlineStr">
        <is>
          <t xml:space="preserve">Operating voltage </t>
        </is>
      </c>
      <c r="D55" s="70" t="inlineStr">
        <is>
          <t>90-550</t>
        </is>
      </c>
      <c r="E55" s="70" t="inlineStr">
        <is>
          <t>150-990</t>
        </is>
      </c>
    </row>
    <row r="56">
      <c r="A56" t="inlineStr">
        <is>
          <t>Pmpp</t>
        </is>
      </c>
      <c r="B56" s="70">
        <f>B52*588</f>
        <v/>
      </c>
      <c r="C56" s="70" t="inlineStr">
        <is>
          <t>Pnom ratio</t>
        </is>
      </c>
      <c r="D56" s="61">
        <f>PAGE2!D15</f>
        <v/>
      </c>
      <c r="E56" s="61">
        <f>PAGE2!D15</f>
        <v/>
      </c>
    </row>
    <row r="57">
      <c r="A57" t="inlineStr">
        <is>
          <t>U mpp</t>
        </is>
      </c>
      <c r="B57" s="47">
        <f>B52*37.7</f>
        <v/>
      </c>
      <c r="C57" s="70" t="n"/>
      <c r="D57" s="70" t="n"/>
    </row>
    <row r="58">
      <c r="A58" t="inlineStr">
        <is>
          <t>I mpp</t>
        </is>
      </c>
      <c r="B58" s="47">
        <f>IFERROR(B56/B57,0)</f>
        <v/>
      </c>
      <c r="C58" s="70" t="n"/>
      <c r="D58" s="70" t="n"/>
    </row>
    <row r="59">
      <c r="B59" s="70" t="n"/>
      <c r="C59" s="70" t="n"/>
      <c r="D59" s="70" t="n"/>
    </row>
    <row r="60">
      <c r="A60" s="52" t="inlineStr">
        <is>
          <t>Total PV power</t>
        </is>
      </c>
      <c r="B60" s="70" t="n"/>
      <c r="C60" s="55" t="inlineStr">
        <is>
          <t>Total inverter power</t>
        </is>
      </c>
      <c r="D60" s="70" t="n"/>
    </row>
    <row r="61">
      <c r="A61" t="inlineStr">
        <is>
          <t>Nominal (STC)</t>
        </is>
      </c>
      <c r="B61" s="47">
        <f>PAGE2!B14</f>
        <v/>
      </c>
      <c r="C61" s="70" t="inlineStr">
        <is>
          <t>Total power</t>
        </is>
      </c>
      <c r="D61" s="70">
        <f>PAGE2!D14</f>
        <v/>
      </c>
    </row>
    <row r="62">
      <c r="A62" t="inlineStr">
        <is>
          <t>Total</t>
        </is>
      </c>
      <c r="B62" s="70">
        <f>B22+B32+B42+B52</f>
        <v/>
      </c>
      <c r="C62" s="70" t="inlineStr">
        <is>
          <t xml:space="preserve">Number of inverers </t>
        </is>
      </c>
      <c r="D62" s="70">
        <f>PAGE2!D13</f>
        <v/>
      </c>
    </row>
    <row r="63">
      <c r="B63" s="70" t="n"/>
      <c r="C63" s="70" t="inlineStr">
        <is>
          <t xml:space="preserve">Pnom ratio </t>
        </is>
      </c>
      <c r="D63" s="49">
        <f>PAGE2!D15</f>
        <v/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L15" sqref="L15"/>
    </sheetView>
  </sheetViews>
  <sheetFormatPr baseColWidth="8" defaultRowHeight="15"/>
  <cols>
    <col width="38" bestFit="1" customWidth="1" style="71" min="1" max="1"/>
    <col width="10" bestFit="1" customWidth="1" style="71" min="2" max="2"/>
    <col width="25.7109375" bestFit="1" customWidth="1" style="71" min="3" max="3"/>
  </cols>
  <sheetData>
    <row r="1" ht="18.75" customHeight="1" s="71">
      <c r="A1" s="51" t="inlineStr">
        <is>
          <t>Grid storage - Self Consumption</t>
        </is>
      </c>
    </row>
    <row r="2">
      <c r="A2" s="53" t="inlineStr">
        <is>
          <t xml:space="preserve">Battery pack </t>
        </is>
      </c>
      <c r="C2" s="53" t="inlineStr">
        <is>
          <t xml:space="preserve">Battery Input charger </t>
        </is>
      </c>
    </row>
    <row r="3">
      <c r="A3" t="inlineStr">
        <is>
          <t>Nb. Of units</t>
        </is>
      </c>
      <c r="B3">
        <f>PAGE2!F13</f>
        <v/>
      </c>
      <c r="C3" t="inlineStr">
        <is>
          <t>Max. charging power</t>
        </is>
      </c>
      <c r="D3" s="28">
        <f>B4*157/1000</f>
        <v/>
      </c>
    </row>
    <row r="4">
      <c r="A4" t="inlineStr">
        <is>
          <t xml:space="preserve">voltage </t>
        </is>
      </c>
      <c r="B4">
        <f>PAGE2!F14</f>
        <v/>
      </c>
      <c r="C4" s="53" t="inlineStr">
        <is>
          <t xml:space="preserve">Battery to Grid Inverter </t>
        </is>
      </c>
    </row>
    <row r="5">
      <c r="A5" t="inlineStr">
        <is>
          <t>Nominal Capacity (C10)</t>
        </is>
      </c>
      <c r="B5">
        <f>PAGE2!F15</f>
        <v/>
      </c>
      <c r="C5" t="inlineStr">
        <is>
          <t>Max. discharging power</t>
        </is>
      </c>
      <c r="D5" s="28">
        <f>51*314*0.5*0.95/1000</f>
        <v/>
      </c>
    </row>
    <row r="6">
      <c r="A6" t="inlineStr">
        <is>
          <t>Nominal energy</t>
        </is>
      </c>
      <c r="B6" t="n">
        <v>16.1</v>
      </c>
    </row>
    <row r="8" ht="18.75" customHeight="1" s="71">
      <c r="A8" s="51" t="inlineStr">
        <is>
          <t xml:space="preserve">DC wiring losses </t>
        </is>
      </c>
    </row>
    <row r="9">
      <c r="A9" t="inlineStr">
        <is>
          <t>Loss Fraction</t>
        </is>
      </c>
      <c r="B9" s="28">
        <f>AVERAGE(B12,D12,B16,D16)</f>
        <v/>
      </c>
    </row>
    <row r="10">
      <c r="A10" s="38" t="inlineStr">
        <is>
          <t>Array #1 - PV Array (Length)</t>
        </is>
      </c>
      <c r="B10" s="7" t="n">
        <v>100</v>
      </c>
      <c r="C10" s="38" t="inlineStr">
        <is>
          <t>Array #2 - PV Array (Length)</t>
        </is>
      </c>
      <c r="D10" s="7" t="n">
        <v>90</v>
      </c>
    </row>
    <row r="11">
      <c r="A11" t="inlineStr">
        <is>
          <t xml:space="preserve">Global array res. </t>
        </is>
      </c>
      <c r="B11" s="31">
        <f>0.0175*B10/6*1000</f>
        <v/>
      </c>
      <c r="C11" t="inlineStr">
        <is>
          <t xml:space="preserve">Global array res. </t>
        </is>
      </c>
      <c r="D11" s="31">
        <f>0.0175*D10/6*1000</f>
        <v/>
      </c>
    </row>
    <row r="12">
      <c r="A12" t="inlineStr">
        <is>
          <t xml:space="preserve">Loss fraction </t>
        </is>
      </c>
      <c r="B12" s="28">
        <f>IFERROR(16^2*B11/1000/'PAGE 3'!B23*100,0)</f>
        <v/>
      </c>
      <c r="C12" t="inlineStr">
        <is>
          <t xml:space="preserve">Loss fraction </t>
        </is>
      </c>
      <c r="D12" s="28">
        <f>IFERROR(16^2*D11/1000/'PAGE 3'!B33*100,0)</f>
        <v/>
      </c>
    </row>
    <row r="14">
      <c r="A14" s="38" t="inlineStr">
        <is>
          <t>Array #3 - PV Array (Length)</t>
        </is>
      </c>
      <c r="B14" s="7" t="n">
        <v>80</v>
      </c>
      <c r="C14" s="38" t="inlineStr">
        <is>
          <t>Array #4 - PV Array (Length)</t>
        </is>
      </c>
      <c r="D14" s="7" t="n">
        <v>60</v>
      </c>
    </row>
    <row r="15">
      <c r="A15" t="inlineStr">
        <is>
          <t xml:space="preserve">Global array res. </t>
        </is>
      </c>
      <c r="B15" s="31">
        <f>0.0175*B14/6*1000</f>
        <v/>
      </c>
      <c r="C15" t="inlineStr">
        <is>
          <t xml:space="preserve">Global array res. </t>
        </is>
      </c>
      <c r="D15" s="31">
        <f>0.0175*D14/6*1000</f>
        <v/>
      </c>
    </row>
    <row r="16">
      <c r="A16" t="inlineStr">
        <is>
          <t xml:space="preserve">Loss fraction </t>
        </is>
      </c>
      <c r="B16" s="28">
        <f>IFERROR(16^2*B15/1000/'PAGE 3'!B43*100,0)</f>
        <v/>
      </c>
      <c r="C16" t="inlineStr">
        <is>
          <t xml:space="preserve">Loss fraction </t>
        </is>
      </c>
      <c r="D16" s="28">
        <f>IFERROR(16^2*D15/1000/'PAGE 3'!B53*100,0)</f>
        <v/>
      </c>
    </row>
    <row r="18" ht="18.75" customHeight="1" s="71">
      <c r="A18" s="51" t="inlineStr">
        <is>
          <t xml:space="preserve">AC wiring losses </t>
        </is>
      </c>
      <c r="B18" t="inlineStr">
        <is>
          <t>HIS Model</t>
        </is>
      </c>
      <c r="C18" t="inlineStr">
        <is>
          <t>HIT Model</t>
        </is>
      </c>
    </row>
    <row r="19">
      <c r="A19" t="inlineStr">
        <is>
          <t xml:space="preserve">Inverter voltage </t>
        </is>
      </c>
      <c r="B19" s="70" t="n">
        <v>220</v>
      </c>
      <c r="C19" s="70" t="n">
        <v>400</v>
      </c>
    </row>
    <row r="20">
      <c r="A20" s="53" t="inlineStr">
        <is>
          <t>Global System</t>
        </is>
      </c>
      <c r="B20" s="70" t="inlineStr">
        <is>
          <t>HIS Model</t>
        </is>
      </c>
      <c r="C20" s="70" t="inlineStr">
        <is>
          <t>HIT Model</t>
        </is>
      </c>
    </row>
    <row r="21">
      <c r="A21" t="inlineStr">
        <is>
          <t xml:space="preserve">Wire section </t>
        </is>
      </c>
      <c r="B21" s="70" t="inlineStr">
        <is>
          <t>2x4</t>
        </is>
      </c>
      <c r="C21" s="70" t="inlineStr">
        <is>
          <t>3x3</t>
        </is>
      </c>
    </row>
    <row r="22">
      <c r="A22" t="inlineStr">
        <is>
          <t xml:space="preserve">Wires length </t>
        </is>
      </c>
      <c r="B22" s="70" t="n">
        <v>10</v>
      </c>
      <c r="C22" s="70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O14" sqref="O14"/>
    </sheetView>
  </sheetViews>
  <sheetFormatPr baseColWidth="8" defaultRowHeight="15"/>
  <cols>
    <col width="17.85546875" bestFit="1" customWidth="1" style="71" min="1" max="1"/>
    <col width="9.5703125" bestFit="1" customWidth="1" style="71" min="2" max="2"/>
    <col width="18.7109375" bestFit="1" customWidth="1" style="71" min="3" max="3"/>
  </cols>
  <sheetData>
    <row r="1" ht="18.75" customHeight="1" s="71">
      <c r="A1" s="51" t="inlineStr">
        <is>
          <t>Main results</t>
        </is>
      </c>
    </row>
    <row r="2">
      <c r="A2" s="53" t="inlineStr">
        <is>
          <t>System Production</t>
        </is>
      </c>
    </row>
    <row r="3">
      <c r="A3" t="inlineStr">
        <is>
          <t xml:space="preserve">Produced energy </t>
        </is>
      </c>
      <c r="B3" s="59">
        <f>PAGE2!B18</f>
        <v/>
      </c>
      <c r="C3" t="inlineStr">
        <is>
          <t xml:space="preserve">Specific Production </t>
        </is>
      </c>
      <c r="D3" s="31">
        <f>PAGE2!D18</f>
        <v/>
      </c>
    </row>
    <row r="4">
      <c r="A4" t="inlineStr">
        <is>
          <t xml:space="preserve">User Energy </t>
        </is>
      </c>
      <c r="B4" s="59">
        <f>PAGE2!B19</f>
        <v/>
      </c>
      <c r="C4" t="inlineStr">
        <is>
          <t xml:space="preserve">Perf Ratio PR </t>
        </is>
      </c>
      <c r="D4" s="28">
        <f>PAGE2!F18</f>
        <v/>
      </c>
    </row>
    <row r="5">
      <c r="C5" t="inlineStr">
        <is>
          <t xml:space="preserve">Solar fraction SF </t>
        </is>
      </c>
      <c r="D5" s="28">
        <f>PAGE2!F19</f>
        <v/>
      </c>
    </row>
    <row r="7">
      <c r="A7" s="53" t="inlineStr">
        <is>
          <t>Balances and main results</t>
        </is>
      </c>
    </row>
    <row r="8">
      <c r="B8" t="inlineStr">
        <is>
          <t>GlobHor</t>
        </is>
      </c>
      <c r="C8" t="inlineStr">
        <is>
          <t>DiffHor</t>
        </is>
      </c>
      <c r="D8" t="inlineStr">
        <is>
          <t>T_Amb</t>
        </is>
      </c>
      <c r="E8" t="inlineStr">
        <is>
          <t>GlobInc</t>
        </is>
      </c>
      <c r="F8" t="inlineStr">
        <is>
          <t>GlobEff</t>
        </is>
      </c>
      <c r="G8" t="inlineStr">
        <is>
          <t>Earray</t>
        </is>
      </c>
      <c r="H8" t="inlineStr">
        <is>
          <t>E_User</t>
        </is>
      </c>
      <c r="I8" t="inlineStr">
        <is>
          <t>E_Solar</t>
        </is>
      </c>
      <c r="J8" t="inlineStr">
        <is>
          <t>E_Grid</t>
        </is>
      </c>
      <c r="K8" t="inlineStr">
        <is>
          <t>EfrGrid</t>
        </is>
      </c>
    </row>
    <row r="9">
      <c r="A9" t="inlineStr">
        <is>
          <t>Jan</t>
        </is>
      </c>
      <c r="B9" s="67">
        <f>GlobHor_DiffHor!D11</f>
        <v/>
      </c>
      <c r="C9" s="69">
        <f>GlobHor_DiffHor!F11</f>
        <v/>
      </c>
      <c r="D9" s="67">
        <f>GlobHor_DiffHor!G11</f>
        <v/>
      </c>
      <c r="E9" s="69">
        <f>GlobHor_DiffHor!L11</f>
        <v/>
      </c>
      <c r="F9" s="69">
        <f>GlobHor_DiffHor!M11</f>
        <v/>
      </c>
      <c r="G9" s="69">
        <f>GlobHor_DiffHor!O11</f>
        <v/>
      </c>
      <c r="H9" s="69">
        <f>GlobHor_DiffHor!Q11</f>
        <v/>
      </c>
      <c r="I9" s="69">
        <f>GlobHor_DiffHor!R11</f>
        <v/>
      </c>
      <c r="J9" s="67">
        <f>GlobHor_DiffHor!S11</f>
        <v/>
      </c>
      <c r="K9" s="69">
        <f>GlobHor_DiffHor!U11</f>
        <v/>
      </c>
    </row>
    <row r="10">
      <c r="A10" t="inlineStr">
        <is>
          <t xml:space="preserve">Feb </t>
        </is>
      </c>
      <c r="B10" s="67">
        <f>GlobHor_DiffHor!D12</f>
        <v/>
      </c>
      <c r="C10" s="69">
        <f>GlobHor_DiffHor!F12</f>
        <v/>
      </c>
      <c r="D10" s="67">
        <f>GlobHor_DiffHor!G12</f>
        <v/>
      </c>
      <c r="E10" s="69">
        <f>GlobHor_DiffHor!L12</f>
        <v/>
      </c>
      <c r="F10" s="69">
        <f>GlobHor_DiffHor!M12</f>
        <v/>
      </c>
      <c r="G10" s="69">
        <f>GlobHor_DiffHor!O12</f>
        <v/>
      </c>
      <c r="H10" s="69">
        <f>GlobHor_DiffHor!Q12</f>
        <v/>
      </c>
      <c r="I10" s="69">
        <f>GlobHor_DiffHor!R12</f>
        <v/>
      </c>
      <c r="J10" s="69">
        <f>GlobHor_DiffHor!S12</f>
        <v/>
      </c>
      <c r="K10" s="69">
        <f>GlobHor_DiffHor!U12</f>
        <v/>
      </c>
    </row>
    <row r="11">
      <c r="A11" t="inlineStr">
        <is>
          <t>March</t>
        </is>
      </c>
      <c r="B11" s="67">
        <f>GlobHor_DiffHor!D13</f>
        <v/>
      </c>
      <c r="C11" s="69">
        <f>GlobHor_DiffHor!F13</f>
        <v/>
      </c>
      <c r="D11" s="67">
        <f>GlobHor_DiffHor!G13</f>
        <v/>
      </c>
      <c r="E11" s="69">
        <f>GlobHor_DiffHor!L13</f>
        <v/>
      </c>
      <c r="F11" s="69">
        <f>GlobHor_DiffHor!M13</f>
        <v/>
      </c>
      <c r="G11" s="69">
        <f>GlobHor_DiffHor!O13</f>
        <v/>
      </c>
      <c r="H11" s="69">
        <f>GlobHor_DiffHor!Q13</f>
        <v/>
      </c>
      <c r="I11" s="69">
        <f>GlobHor_DiffHor!R13</f>
        <v/>
      </c>
      <c r="J11" s="69">
        <f>GlobHor_DiffHor!S13</f>
        <v/>
      </c>
      <c r="K11" s="69">
        <f>GlobHor_DiffHor!U13</f>
        <v/>
      </c>
    </row>
    <row r="12">
      <c r="A12" t="inlineStr">
        <is>
          <t xml:space="preserve">April </t>
        </is>
      </c>
      <c r="B12" s="67">
        <f>GlobHor_DiffHor!D14</f>
        <v/>
      </c>
      <c r="C12" s="69">
        <f>GlobHor_DiffHor!F14</f>
        <v/>
      </c>
      <c r="D12" s="67">
        <f>GlobHor_DiffHor!G14</f>
        <v/>
      </c>
      <c r="E12" s="69">
        <f>GlobHor_DiffHor!L14</f>
        <v/>
      </c>
      <c r="F12" s="69">
        <f>GlobHor_DiffHor!M14</f>
        <v/>
      </c>
      <c r="G12" s="69">
        <f>GlobHor_DiffHor!O14</f>
        <v/>
      </c>
      <c r="H12" s="69">
        <f>GlobHor_DiffHor!Q14</f>
        <v/>
      </c>
      <c r="I12" s="69">
        <f>GlobHor_DiffHor!R14</f>
        <v/>
      </c>
      <c r="J12" s="69">
        <f>GlobHor_DiffHor!S14</f>
        <v/>
      </c>
      <c r="K12" s="69">
        <f>GlobHor_DiffHor!U14</f>
        <v/>
      </c>
    </row>
    <row r="13">
      <c r="A13" t="inlineStr">
        <is>
          <t>May</t>
        </is>
      </c>
      <c r="B13" s="67">
        <f>GlobHor_DiffHor!D15</f>
        <v/>
      </c>
      <c r="C13" s="69">
        <f>GlobHor_DiffHor!F15</f>
        <v/>
      </c>
      <c r="D13" s="67">
        <f>GlobHor_DiffHor!G15</f>
        <v/>
      </c>
      <c r="E13" s="69">
        <f>GlobHor_DiffHor!L15</f>
        <v/>
      </c>
      <c r="F13" s="69">
        <f>GlobHor_DiffHor!M15</f>
        <v/>
      </c>
      <c r="G13" s="69">
        <f>GlobHor_DiffHor!O15</f>
        <v/>
      </c>
      <c r="H13" s="69">
        <f>GlobHor_DiffHor!Q15</f>
        <v/>
      </c>
      <c r="I13" s="69">
        <f>GlobHor_DiffHor!R15</f>
        <v/>
      </c>
      <c r="J13" s="69">
        <f>GlobHor_DiffHor!S15</f>
        <v/>
      </c>
      <c r="K13" s="69">
        <f>GlobHor_DiffHor!U15</f>
        <v/>
      </c>
    </row>
    <row r="14">
      <c r="A14" t="inlineStr">
        <is>
          <t>Jun</t>
        </is>
      </c>
      <c r="B14" s="67">
        <f>GlobHor_DiffHor!D16</f>
        <v/>
      </c>
      <c r="C14" s="69">
        <f>GlobHor_DiffHor!F16</f>
        <v/>
      </c>
      <c r="D14" s="67">
        <f>GlobHor_DiffHor!G16</f>
        <v/>
      </c>
      <c r="E14" s="69">
        <f>GlobHor_DiffHor!L16</f>
        <v/>
      </c>
      <c r="F14" s="69">
        <f>GlobHor_DiffHor!M16</f>
        <v/>
      </c>
      <c r="G14" s="69">
        <f>GlobHor_DiffHor!O16</f>
        <v/>
      </c>
      <c r="H14" s="69">
        <f>GlobHor_DiffHor!Q16</f>
        <v/>
      </c>
      <c r="I14" s="69">
        <f>GlobHor_DiffHor!R16</f>
        <v/>
      </c>
      <c r="J14" s="69">
        <f>GlobHor_DiffHor!S16</f>
        <v/>
      </c>
      <c r="K14" s="69">
        <f>GlobHor_DiffHor!U16</f>
        <v/>
      </c>
    </row>
    <row r="15">
      <c r="A15" t="inlineStr">
        <is>
          <t>July</t>
        </is>
      </c>
      <c r="B15" s="67">
        <f>GlobHor_DiffHor!D17</f>
        <v/>
      </c>
      <c r="C15" s="69">
        <f>GlobHor_DiffHor!F17</f>
        <v/>
      </c>
      <c r="D15" s="67">
        <f>GlobHor_DiffHor!G17</f>
        <v/>
      </c>
      <c r="E15" s="69">
        <f>GlobHor_DiffHor!L17</f>
        <v/>
      </c>
      <c r="F15" s="69">
        <f>GlobHor_DiffHor!M17</f>
        <v/>
      </c>
      <c r="G15" s="69">
        <f>GlobHor_DiffHor!O17</f>
        <v/>
      </c>
      <c r="H15" s="69">
        <f>GlobHor_DiffHor!Q17</f>
        <v/>
      </c>
      <c r="I15" s="69">
        <f>GlobHor_DiffHor!R17</f>
        <v/>
      </c>
      <c r="J15" s="69">
        <f>GlobHor_DiffHor!S17</f>
        <v/>
      </c>
      <c r="K15" s="69">
        <f>GlobHor_DiffHor!U17</f>
        <v/>
      </c>
    </row>
    <row r="16">
      <c r="A16" t="inlineStr">
        <is>
          <t>Aug.</t>
        </is>
      </c>
      <c r="B16" s="67">
        <f>GlobHor_DiffHor!D18</f>
        <v/>
      </c>
      <c r="C16" s="69">
        <f>GlobHor_DiffHor!F18</f>
        <v/>
      </c>
      <c r="D16" s="67">
        <f>GlobHor_DiffHor!G18</f>
        <v/>
      </c>
      <c r="E16" s="69">
        <f>GlobHor_DiffHor!L18</f>
        <v/>
      </c>
      <c r="F16" s="69">
        <f>GlobHor_DiffHor!M18</f>
        <v/>
      </c>
      <c r="G16" s="69">
        <f>GlobHor_DiffHor!O18</f>
        <v/>
      </c>
      <c r="H16" s="69">
        <f>GlobHor_DiffHor!Q18</f>
        <v/>
      </c>
      <c r="I16" s="69">
        <f>GlobHor_DiffHor!R18</f>
        <v/>
      </c>
      <c r="J16" s="69">
        <f>GlobHor_DiffHor!S18</f>
        <v/>
      </c>
      <c r="K16" s="69">
        <f>GlobHor_DiffHor!U18</f>
        <v/>
      </c>
    </row>
    <row r="17">
      <c r="A17" t="inlineStr">
        <is>
          <t>Sept</t>
        </is>
      </c>
      <c r="B17" s="67">
        <f>GlobHor_DiffHor!D19</f>
        <v/>
      </c>
      <c r="C17" s="69">
        <f>GlobHor_DiffHor!F19</f>
        <v/>
      </c>
      <c r="D17" s="67">
        <f>GlobHor_DiffHor!G19</f>
        <v/>
      </c>
      <c r="E17" s="69">
        <f>GlobHor_DiffHor!L19</f>
        <v/>
      </c>
      <c r="F17" s="69">
        <f>GlobHor_DiffHor!M19</f>
        <v/>
      </c>
      <c r="G17" s="69">
        <f>GlobHor_DiffHor!O19</f>
        <v/>
      </c>
      <c r="H17" s="69">
        <f>GlobHor_DiffHor!Q19</f>
        <v/>
      </c>
      <c r="I17" s="69">
        <f>GlobHor_DiffHor!R19</f>
        <v/>
      </c>
      <c r="J17" s="69">
        <f>GlobHor_DiffHor!S19</f>
        <v/>
      </c>
      <c r="K17" s="69">
        <f>GlobHor_DiffHor!U19</f>
        <v/>
      </c>
    </row>
    <row r="18">
      <c r="A18" t="inlineStr">
        <is>
          <t>Oct</t>
        </is>
      </c>
      <c r="B18" s="67">
        <f>GlobHor_DiffHor!D20</f>
        <v/>
      </c>
      <c r="C18" s="69">
        <f>GlobHor_DiffHor!F20</f>
        <v/>
      </c>
      <c r="D18" s="67">
        <f>GlobHor_DiffHor!G20</f>
        <v/>
      </c>
      <c r="E18" s="69">
        <f>GlobHor_DiffHor!L20</f>
        <v/>
      </c>
      <c r="F18" s="69">
        <f>GlobHor_DiffHor!M20</f>
        <v/>
      </c>
      <c r="G18" s="69">
        <f>GlobHor_DiffHor!O20</f>
        <v/>
      </c>
      <c r="H18" s="69">
        <f>GlobHor_DiffHor!Q20</f>
        <v/>
      </c>
      <c r="I18" s="69">
        <f>GlobHor_DiffHor!R20</f>
        <v/>
      </c>
      <c r="J18" s="69">
        <f>GlobHor_DiffHor!S20</f>
        <v/>
      </c>
      <c r="K18" s="69">
        <f>GlobHor_DiffHor!U20</f>
        <v/>
      </c>
    </row>
    <row r="19">
      <c r="A19" t="inlineStr">
        <is>
          <t>Nov.</t>
        </is>
      </c>
      <c r="B19" s="67">
        <f>GlobHor_DiffHor!D21</f>
        <v/>
      </c>
      <c r="C19" s="69">
        <f>GlobHor_DiffHor!F21</f>
        <v/>
      </c>
      <c r="D19" s="67">
        <f>GlobHor_DiffHor!G21</f>
        <v/>
      </c>
      <c r="E19" s="69">
        <f>GlobHor_DiffHor!L21</f>
        <v/>
      </c>
      <c r="F19" s="69">
        <f>GlobHor_DiffHor!M21</f>
        <v/>
      </c>
      <c r="G19" s="69">
        <f>GlobHor_DiffHor!O21</f>
        <v/>
      </c>
      <c r="H19" s="69">
        <f>GlobHor_DiffHor!Q21</f>
        <v/>
      </c>
      <c r="I19" s="69">
        <f>GlobHor_DiffHor!R21</f>
        <v/>
      </c>
      <c r="J19" s="69">
        <f>GlobHor_DiffHor!S21</f>
        <v/>
      </c>
      <c r="K19" s="69">
        <f>GlobHor_DiffHor!U21</f>
        <v/>
      </c>
    </row>
    <row r="20">
      <c r="A20" t="inlineStr">
        <is>
          <t>Dec.</t>
        </is>
      </c>
      <c r="B20" s="67">
        <f>GlobHor_DiffHor!D22</f>
        <v/>
      </c>
      <c r="C20" s="69">
        <f>GlobHor_DiffHor!F22</f>
        <v/>
      </c>
      <c r="D20" s="67">
        <f>GlobHor_DiffHor!G22</f>
        <v/>
      </c>
      <c r="E20" s="69">
        <f>GlobHor_DiffHor!L22</f>
        <v/>
      </c>
      <c r="F20" s="69">
        <f>GlobHor_DiffHor!M22</f>
        <v/>
      </c>
      <c r="G20" s="69">
        <f>GlobHor_DiffHor!O22</f>
        <v/>
      </c>
      <c r="H20" s="69">
        <f>GlobHor_DiffHor!Q22</f>
        <v/>
      </c>
      <c r="I20" s="69">
        <f>GlobHor_DiffHor!R22</f>
        <v/>
      </c>
      <c r="J20" s="69">
        <f>GlobHor_DiffHor!S22</f>
        <v/>
      </c>
      <c r="K20" s="69">
        <f>GlobHor_DiffHor!U22</f>
        <v/>
      </c>
    </row>
    <row r="21">
      <c r="A21" s="38" t="inlineStr">
        <is>
          <t>Year</t>
        </is>
      </c>
      <c r="B21" s="67">
        <f>GlobHor_DiffHor!D23</f>
        <v/>
      </c>
      <c r="C21" s="69">
        <f>GlobHor_DiffHor!F23</f>
        <v/>
      </c>
      <c r="D21" s="68">
        <f>GlobHor_DiffHor!G23</f>
        <v/>
      </c>
      <c r="E21" s="69">
        <f>GlobHor_DiffHor!L23</f>
        <v/>
      </c>
      <c r="F21" s="69">
        <f>GlobHor_DiffHor!M23</f>
        <v/>
      </c>
      <c r="G21" s="69">
        <f>GlobHor_DiffHor!O23</f>
        <v/>
      </c>
      <c r="H21" s="69">
        <f>GlobHor_DiffHor!Q23</f>
        <v/>
      </c>
      <c r="I21" s="69">
        <f>GlobHor_DiffHor!R23</f>
        <v/>
      </c>
      <c r="J21" s="69">
        <f>GlobHor_DiffHor!S23</f>
        <v/>
      </c>
      <c r="K21" s="69">
        <f>GlobHor_DiffHor!U23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0" sqref="B10"/>
    </sheetView>
  </sheetViews>
  <sheetFormatPr baseColWidth="8" defaultRowHeight="15"/>
  <cols>
    <col width="23.5703125" bestFit="1" customWidth="1" style="71" min="1" max="1"/>
  </cols>
  <sheetData>
    <row r="1" ht="18.75" customHeight="1" s="71">
      <c r="A1" s="51" t="inlineStr">
        <is>
          <t xml:space="preserve">Loss diagram </t>
        </is>
      </c>
    </row>
    <row r="3">
      <c r="A3" t="inlineStr">
        <is>
          <t>GlobHor</t>
        </is>
      </c>
      <c r="B3">
        <f>'PAGE 5'!B21</f>
        <v/>
      </c>
    </row>
    <row r="4">
      <c r="A4" t="inlineStr">
        <is>
          <t>Globinc</t>
        </is>
      </c>
      <c r="B4" s="31">
        <f>GlobHor_DiffHor!L23</f>
        <v/>
      </c>
    </row>
    <row r="5">
      <c r="A5" t="inlineStr">
        <is>
          <t xml:space="preserve">Pv nominal </t>
        </is>
      </c>
      <c r="B5" s="59">
        <f>GlobHor_DiffHor!O23</f>
        <v/>
      </c>
    </row>
    <row r="6">
      <c r="A6" t="inlineStr">
        <is>
          <t xml:space="preserve">Array Virtual </t>
        </is>
      </c>
      <c r="B6" s="59">
        <f>'PVsyst Graph Data'!B14</f>
        <v/>
      </c>
    </row>
    <row r="7">
      <c r="A7" t="inlineStr">
        <is>
          <t xml:space="preserve">Final energy after ac loss </t>
        </is>
      </c>
      <c r="B7" s="59">
        <f>'PVsyst Graph Data'!B16</f>
        <v/>
      </c>
    </row>
    <row r="8">
      <c r="A8" t="inlineStr">
        <is>
          <t xml:space="preserve">Efr Grid </t>
        </is>
      </c>
      <c r="B8" s="59">
        <f>GlobHor_DiffHor!U23</f>
        <v/>
      </c>
    </row>
    <row r="9">
      <c r="A9" t="inlineStr">
        <is>
          <t>Battery Stored</t>
        </is>
      </c>
      <c r="B9" s="28">
        <f>'PVsyst Graph Data'!B29</f>
        <v/>
      </c>
    </row>
    <row r="10">
      <c r="A10" t="inlineStr">
        <is>
          <t>Direct uses</t>
        </is>
      </c>
      <c r="B10" s="28">
        <f>GlobHor_DiffHor!S23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tabSelected="1" workbookViewId="0">
      <selection activeCell="O13" sqref="O13"/>
    </sheetView>
  </sheetViews>
  <sheetFormatPr baseColWidth="8" defaultRowHeight="15"/>
  <cols>
    <col width="31" bestFit="1" customWidth="1" style="71" min="1" max="1"/>
    <col width="17.5703125" customWidth="1" style="71" min="14" max="14"/>
    <col width="11.5703125" bestFit="1" customWidth="1" style="71" min="15" max="15"/>
  </cols>
  <sheetData>
    <row r="1" ht="18.75" customHeight="1" s="71">
      <c r="A1" s="51" t="inlineStr">
        <is>
          <t xml:space="preserve">P50=P90 evaluation </t>
        </is>
      </c>
      <c r="N1" s="53" t="inlineStr">
        <is>
          <t xml:space="preserve">NOTES </t>
        </is>
      </c>
    </row>
    <row r="2">
      <c r="A2" t="inlineStr">
        <is>
          <t xml:space="preserve">Weather data </t>
        </is>
      </c>
      <c r="B2" s="7" t="n">
        <v>3.8</v>
      </c>
      <c r="N2" t="inlineStr">
        <is>
          <t xml:space="preserve">Negeri </t>
        </is>
      </c>
      <c r="O2" t="inlineStr">
        <is>
          <t>Assumption</t>
        </is>
      </c>
    </row>
    <row r="3">
      <c r="A3" t="inlineStr">
        <is>
          <t>Year to year variability (Variance)</t>
        </is>
      </c>
      <c r="B3" t="n">
        <v>5.7</v>
      </c>
      <c r="N3" s="5" t="inlineStr">
        <is>
          <t>Perlis</t>
        </is>
      </c>
      <c r="O3" s="56" t="n">
        <v>0.035</v>
      </c>
    </row>
    <row r="4">
      <c r="N4" s="5" t="inlineStr">
        <is>
          <t>Kedah</t>
        </is>
      </c>
      <c r="O4" s="56" t="n">
        <v>0.035</v>
      </c>
    </row>
    <row r="5">
      <c r="A5" t="inlineStr">
        <is>
          <t xml:space="preserve">Annual production probility </t>
        </is>
      </c>
      <c r="N5" s="5" t="inlineStr">
        <is>
          <t>Pulau Pinang</t>
        </is>
      </c>
      <c r="O5" s="56" t="n">
        <v>0.037</v>
      </c>
    </row>
    <row r="6">
      <c r="A6" t="inlineStr">
        <is>
          <t xml:space="preserve">Variability </t>
        </is>
      </c>
      <c r="B6" s="31">
        <f>GlobHor_DiffHor!O27</f>
        <v/>
      </c>
      <c r="N6" s="5" t="inlineStr">
        <is>
          <t>Perak</t>
        </is>
      </c>
      <c r="O6" s="56" t="n">
        <v>0.035</v>
      </c>
    </row>
    <row r="7">
      <c r="A7" t="inlineStr">
        <is>
          <t xml:space="preserve">P50 </t>
        </is>
      </c>
      <c r="B7" s="31">
        <f>GlobHor_DiffHor!O28</f>
        <v/>
      </c>
      <c r="N7" s="5" t="inlineStr">
        <is>
          <t>Selangor</t>
        </is>
      </c>
      <c r="O7" s="56" t="n">
        <v>0.038</v>
      </c>
    </row>
    <row r="8">
      <c r="A8" t="inlineStr">
        <is>
          <t>P90</t>
        </is>
      </c>
      <c r="B8" s="31">
        <f>GlobHor_DiffHor!O29</f>
        <v/>
      </c>
      <c r="N8" s="5" t="inlineStr">
        <is>
          <t>Kuala Lumpur</t>
        </is>
      </c>
      <c r="O8" s="56" t="n">
        <v>0.038</v>
      </c>
    </row>
    <row r="9">
      <c r="A9" t="inlineStr">
        <is>
          <t>P75</t>
        </is>
      </c>
      <c r="B9" s="31">
        <f>GlobHor_DiffHor!O30</f>
        <v/>
      </c>
      <c r="N9" s="5" t="inlineStr">
        <is>
          <t>Putrajaya</t>
        </is>
      </c>
      <c r="O9" s="56" t="n">
        <v>0.038</v>
      </c>
    </row>
    <row r="10">
      <c r="N10" s="5" t="inlineStr">
        <is>
          <t>Negeri Sembilan</t>
        </is>
      </c>
      <c r="O10" s="56" t="n">
        <v>0.04</v>
      </c>
    </row>
    <row r="11">
      <c r="N11" s="5" t="inlineStr">
        <is>
          <t>Melaka</t>
        </is>
      </c>
      <c r="O11" s="56" t="n">
        <v>0.04</v>
      </c>
    </row>
    <row r="12">
      <c r="N12" s="5" t="inlineStr">
        <is>
          <t>Johor</t>
        </is>
      </c>
      <c r="O12" s="56" t="n">
        <v>0.031</v>
      </c>
    </row>
    <row r="13">
      <c r="N13" s="5" t="inlineStr">
        <is>
          <t>Pahang</t>
        </is>
      </c>
      <c r="O13" s="56" t="n">
        <v>0.042</v>
      </c>
    </row>
    <row r="14">
      <c r="N14" s="5" t="inlineStr">
        <is>
          <t>Terengganu</t>
        </is>
      </c>
      <c r="O14" s="56" t="n">
        <v>0.043</v>
      </c>
    </row>
    <row r="15">
      <c r="N15" s="5" t="inlineStr">
        <is>
          <t>Kelantan</t>
        </is>
      </c>
      <c r="O15" s="56" t="n">
        <v>0.043</v>
      </c>
    </row>
    <row r="16">
      <c r="N16" s="5" t="inlineStr">
        <is>
          <t>Sabah</t>
        </is>
      </c>
      <c r="O16" s="56" t="n">
        <v>0.045</v>
      </c>
    </row>
    <row r="17">
      <c r="N17" s="5" t="inlineStr">
        <is>
          <t>Sarawak</t>
        </is>
      </c>
      <c r="O17" s="56" t="n">
        <v>0.045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2026-08-24T14:02:00Z</dcterms:created>
  <dcterms:modified xsi:type="dcterms:W3CDTF">2026-09-16T03:53:39Z</dcterms:modified>
  <cp:lastModifiedBy>Zarith Husna</cp:lastModifiedBy>
</cp:coreProperties>
</file>